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imeBuildAutomationNew\"/>
    </mc:Choice>
  </mc:AlternateContent>
  <xr:revisionPtr revIDLastSave="0" documentId="13_ncr:1_{C53148DB-8610-4419-9932-1B38358E0790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Input" sheetId="4" r:id="rId1"/>
    <sheet name="JNL Template - Main" sheetId="3" r:id="rId2"/>
    <sheet name="Sheet1" sheetId="6" state="hidden" r:id="rId3"/>
    <sheet name="Journal - Main" sheetId="2" r:id="rId4"/>
    <sheet name="Lookups" sheetId="5" r:id="rId5"/>
    <sheet name="JRNDOWNLD" sheetId="7" r:id="rId6"/>
  </sheets>
  <definedNames>
    <definedName name="_xlnm._FilterDatabase" localSheetId="1" hidden="1">'JNL Template - Main'!$A$1:$X$500</definedName>
    <definedName name="_xlnm._FilterDatabase" localSheetId="3" hidden="1">'Journal - Main'!$A$1:$N$109</definedName>
    <definedName name="_xlnm._FilterDatabase" localSheetId="5" hidden="1">JRNDOWNLD!$A$4:$Y$198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3" l="1"/>
  <c r="C4" i="3"/>
  <c r="C5" i="3"/>
  <c r="C30" i="3"/>
  <c r="C31" i="3"/>
  <c r="C32" i="3"/>
  <c r="C33" i="3"/>
  <c r="C34" i="3"/>
  <c r="C35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2" i="3"/>
  <c r="S2" i="3"/>
  <c r="S3" i="3"/>
  <c r="S4" i="3"/>
  <c r="S5" i="3"/>
  <c r="S6" i="3"/>
  <c r="S7" i="3"/>
  <c r="S8" i="3"/>
  <c r="S9" i="3"/>
  <c r="K2" i="3"/>
  <c r="K3" i="3"/>
  <c r="K4" i="3"/>
  <c r="K5" i="3"/>
  <c r="K6" i="3"/>
  <c r="K7" i="3"/>
  <c r="K8" i="3"/>
  <c r="K9" i="3"/>
  <c r="B6" i="4" a="1"/>
  <c r="B6" i="4" s="1"/>
  <c r="H5" i="3" l="1"/>
  <c r="H2" i="3"/>
  <c r="H4" i="3"/>
  <c r="H3" i="3"/>
  <c r="H6" i="3"/>
  <c r="H9" i="3"/>
  <c r="H7" i="3"/>
  <c r="H8" i="3"/>
  <c r="S342" i="3"/>
  <c r="R342" i="3"/>
  <c r="K342" i="3"/>
  <c r="W342" i="3"/>
  <c r="S341" i="3"/>
  <c r="R341" i="3"/>
  <c r="K341" i="3"/>
  <c r="W341" i="3"/>
  <c r="S340" i="3"/>
  <c r="R340" i="3"/>
  <c r="K340" i="3"/>
  <c r="W340" i="3"/>
  <c r="W339" i="3"/>
  <c r="S339" i="3"/>
  <c r="R339" i="3"/>
  <c r="K339" i="3"/>
  <c r="S338" i="3"/>
  <c r="R338" i="3"/>
  <c r="K338" i="3"/>
  <c r="W338" i="3"/>
  <c r="W337" i="3"/>
  <c r="S337" i="3"/>
  <c r="R337" i="3"/>
  <c r="K337" i="3"/>
  <c r="S336" i="3"/>
  <c r="R336" i="3"/>
  <c r="K336" i="3"/>
  <c r="W336" i="3"/>
  <c r="S335" i="3"/>
  <c r="R335" i="3"/>
  <c r="K335" i="3"/>
  <c r="W335" i="3"/>
  <c r="S334" i="3"/>
  <c r="R334" i="3"/>
  <c r="K334" i="3"/>
  <c r="W334" i="3"/>
  <c r="S333" i="3"/>
  <c r="R333" i="3"/>
  <c r="K333" i="3"/>
  <c r="W333" i="3"/>
  <c r="S332" i="3"/>
  <c r="R332" i="3"/>
  <c r="K332" i="3"/>
  <c r="W332" i="3"/>
  <c r="W331" i="3"/>
  <c r="S331" i="3"/>
  <c r="R331" i="3"/>
  <c r="K331" i="3"/>
  <c r="S330" i="3"/>
  <c r="R330" i="3"/>
  <c r="K330" i="3"/>
  <c r="W330" i="3"/>
  <c r="W329" i="3"/>
  <c r="S329" i="3"/>
  <c r="R329" i="3"/>
  <c r="K329" i="3"/>
  <c r="S328" i="3"/>
  <c r="R328" i="3"/>
  <c r="K328" i="3"/>
  <c r="W328" i="3"/>
  <c r="S327" i="3"/>
  <c r="R327" i="3"/>
  <c r="K327" i="3"/>
  <c r="W327" i="3"/>
  <c r="S326" i="3"/>
  <c r="R326" i="3"/>
  <c r="K326" i="3"/>
  <c r="W326" i="3"/>
  <c r="S325" i="3"/>
  <c r="R325" i="3"/>
  <c r="K325" i="3"/>
  <c r="W325" i="3"/>
  <c r="S324" i="3"/>
  <c r="R324" i="3"/>
  <c r="K324" i="3"/>
  <c r="W324" i="3"/>
  <c r="W323" i="3"/>
  <c r="S323" i="3"/>
  <c r="R323" i="3"/>
  <c r="K323" i="3"/>
  <c r="S322" i="3"/>
  <c r="R322" i="3"/>
  <c r="K322" i="3"/>
  <c r="W322" i="3"/>
  <c r="W321" i="3"/>
  <c r="S321" i="3"/>
  <c r="R321" i="3"/>
  <c r="K321" i="3"/>
  <c r="S320" i="3"/>
  <c r="R320" i="3"/>
  <c r="K320" i="3"/>
  <c r="W320" i="3"/>
  <c r="S319" i="3"/>
  <c r="R319" i="3"/>
  <c r="K319" i="3"/>
  <c r="W319" i="3"/>
  <c r="S318" i="3"/>
  <c r="R318" i="3"/>
  <c r="K318" i="3"/>
  <c r="W318" i="3"/>
  <c r="S317" i="3"/>
  <c r="R317" i="3"/>
  <c r="K317" i="3"/>
  <c r="W317" i="3"/>
  <c r="S316" i="3"/>
  <c r="R316" i="3"/>
  <c r="K316" i="3"/>
  <c r="W316" i="3"/>
  <c r="W315" i="3"/>
  <c r="S315" i="3"/>
  <c r="R315" i="3"/>
  <c r="K315" i="3"/>
  <c r="S314" i="3"/>
  <c r="R314" i="3"/>
  <c r="K314" i="3"/>
  <c r="W314" i="3"/>
  <c r="W313" i="3"/>
  <c r="S313" i="3"/>
  <c r="R313" i="3"/>
  <c r="K313" i="3"/>
  <c r="S312" i="3"/>
  <c r="R312" i="3"/>
  <c r="K312" i="3"/>
  <c r="W312" i="3"/>
  <c r="S311" i="3"/>
  <c r="R311" i="3"/>
  <c r="K311" i="3"/>
  <c r="W311" i="3"/>
  <c r="S310" i="3"/>
  <c r="R310" i="3"/>
  <c r="K310" i="3"/>
  <c r="W310" i="3"/>
  <c r="S309" i="3"/>
  <c r="R309" i="3"/>
  <c r="K309" i="3"/>
  <c r="W309" i="3"/>
  <c r="S308" i="3"/>
  <c r="R308" i="3"/>
  <c r="K308" i="3"/>
  <c r="W308" i="3"/>
  <c r="W307" i="3"/>
  <c r="S307" i="3"/>
  <c r="R307" i="3"/>
  <c r="K307" i="3"/>
  <c r="S306" i="3"/>
  <c r="R306" i="3"/>
  <c r="K306" i="3"/>
  <c r="W306" i="3"/>
  <c r="W305" i="3"/>
  <c r="S305" i="3"/>
  <c r="R305" i="3"/>
  <c r="K305" i="3"/>
  <c r="S304" i="3"/>
  <c r="R304" i="3"/>
  <c r="K304" i="3"/>
  <c r="W304" i="3"/>
  <c r="S303" i="3"/>
  <c r="R303" i="3"/>
  <c r="K303" i="3"/>
  <c r="W303" i="3"/>
  <c r="S302" i="3"/>
  <c r="R302" i="3"/>
  <c r="K302" i="3"/>
  <c r="W302" i="3"/>
  <c r="S301" i="3"/>
  <c r="R301" i="3"/>
  <c r="K301" i="3"/>
  <c r="W301" i="3"/>
  <c r="S300" i="3"/>
  <c r="R300" i="3"/>
  <c r="K300" i="3"/>
  <c r="W300" i="3"/>
  <c r="W299" i="3"/>
  <c r="S299" i="3"/>
  <c r="R299" i="3"/>
  <c r="K299" i="3"/>
  <c r="S298" i="3"/>
  <c r="R298" i="3"/>
  <c r="K298" i="3"/>
  <c r="W298" i="3"/>
  <c r="W297" i="3"/>
  <c r="S297" i="3"/>
  <c r="R297" i="3"/>
  <c r="K297" i="3"/>
  <c r="S296" i="3"/>
  <c r="R296" i="3"/>
  <c r="K296" i="3"/>
  <c r="W296" i="3"/>
  <c r="S295" i="3"/>
  <c r="R295" i="3"/>
  <c r="K295" i="3"/>
  <c r="W295" i="3"/>
  <c r="S294" i="3"/>
  <c r="R294" i="3"/>
  <c r="K294" i="3"/>
  <c r="W294" i="3"/>
  <c r="S293" i="3"/>
  <c r="R293" i="3"/>
  <c r="K293" i="3"/>
  <c r="W293" i="3"/>
  <c r="S292" i="3"/>
  <c r="R292" i="3"/>
  <c r="K292" i="3"/>
  <c r="W292" i="3"/>
  <c r="W291" i="3"/>
  <c r="S291" i="3"/>
  <c r="R291" i="3"/>
  <c r="K291" i="3"/>
  <c r="S290" i="3"/>
  <c r="R290" i="3"/>
  <c r="K290" i="3"/>
  <c r="W290" i="3"/>
  <c r="W289" i="3"/>
  <c r="S289" i="3"/>
  <c r="R289" i="3"/>
  <c r="K289" i="3"/>
  <c r="S288" i="3"/>
  <c r="R288" i="3"/>
  <c r="K288" i="3"/>
  <c r="W288" i="3"/>
  <c r="S287" i="3"/>
  <c r="R287" i="3"/>
  <c r="K287" i="3"/>
  <c r="W287" i="3"/>
  <c r="R3" i="3"/>
  <c r="R4" i="3"/>
  <c r="R5" i="3"/>
  <c r="R6" i="3"/>
  <c r="R7" i="3"/>
  <c r="R8" i="3"/>
  <c r="R9" i="3"/>
  <c r="K10" i="3"/>
  <c r="R10" i="3"/>
  <c r="S10" i="3"/>
  <c r="K11" i="3"/>
  <c r="R11" i="3"/>
  <c r="S11" i="3"/>
  <c r="K12" i="3"/>
  <c r="R12" i="3"/>
  <c r="S12" i="3"/>
  <c r="K13" i="3"/>
  <c r="R13" i="3"/>
  <c r="S13" i="3"/>
  <c r="K14" i="3"/>
  <c r="R14" i="3"/>
  <c r="S14" i="3"/>
  <c r="K15" i="3"/>
  <c r="R15" i="3"/>
  <c r="S15" i="3"/>
  <c r="K16" i="3"/>
  <c r="R16" i="3"/>
  <c r="S16" i="3"/>
  <c r="K17" i="3"/>
  <c r="R17" i="3"/>
  <c r="S17" i="3"/>
  <c r="K18" i="3"/>
  <c r="R18" i="3"/>
  <c r="S18" i="3"/>
  <c r="K19" i="3"/>
  <c r="R19" i="3"/>
  <c r="S19" i="3"/>
  <c r="K20" i="3"/>
  <c r="R20" i="3"/>
  <c r="S20" i="3"/>
  <c r="K21" i="3"/>
  <c r="R21" i="3"/>
  <c r="S21" i="3"/>
  <c r="K22" i="3"/>
  <c r="R22" i="3"/>
  <c r="S22" i="3"/>
  <c r="K23" i="3"/>
  <c r="R23" i="3"/>
  <c r="S23" i="3"/>
  <c r="K24" i="3"/>
  <c r="R24" i="3"/>
  <c r="S24" i="3"/>
  <c r="K25" i="3"/>
  <c r="R25" i="3"/>
  <c r="S25" i="3"/>
  <c r="K26" i="3"/>
  <c r="R26" i="3"/>
  <c r="S26" i="3"/>
  <c r="K27" i="3"/>
  <c r="R27" i="3"/>
  <c r="S27" i="3"/>
  <c r="K28" i="3"/>
  <c r="R28" i="3"/>
  <c r="S28" i="3"/>
  <c r="K29" i="3"/>
  <c r="R29" i="3"/>
  <c r="S29" i="3"/>
  <c r="K30" i="3"/>
  <c r="R30" i="3"/>
  <c r="S30" i="3"/>
  <c r="K31" i="3"/>
  <c r="R31" i="3"/>
  <c r="S31" i="3"/>
  <c r="K32" i="3"/>
  <c r="R32" i="3"/>
  <c r="S32" i="3"/>
  <c r="K33" i="3"/>
  <c r="R33" i="3"/>
  <c r="S33" i="3"/>
  <c r="K34" i="3"/>
  <c r="R34" i="3"/>
  <c r="S34" i="3"/>
  <c r="K35" i="3"/>
  <c r="R35" i="3"/>
  <c r="S35" i="3"/>
  <c r="K36" i="3"/>
  <c r="R36" i="3"/>
  <c r="S36" i="3"/>
  <c r="K37" i="3"/>
  <c r="R37" i="3"/>
  <c r="S37" i="3"/>
  <c r="K38" i="3"/>
  <c r="R38" i="3"/>
  <c r="S38" i="3"/>
  <c r="K39" i="3"/>
  <c r="R39" i="3"/>
  <c r="S39" i="3"/>
  <c r="K40" i="3"/>
  <c r="R40" i="3"/>
  <c r="S40" i="3"/>
  <c r="K41" i="3"/>
  <c r="R41" i="3"/>
  <c r="S41" i="3"/>
  <c r="K42" i="3"/>
  <c r="R42" i="3"/>
  <c r="S42" i="3"/>
  <c r="K43" i="3"/>
  <c r="R43" i="3"/>
  <c r="S43" i="3"/>
  <c r="K44" i="3"/>
  <c r="R44" i="3"/>
  <c r="S44" i="3"/>
  <c r="K45" i="3"/>
  <c r="R45" i="3"/>
  <c r="S45" i="3"/>
  <c r="K46" i="3"/>
  <c r="R46" i="3"/>
  <c r="S46" i="3"/>
  <c r="K47" i="3"/>
  <c r="R47" i="3"/>
  <c r="S47" i="3"/>
  <c r="K48" i="3"/>
  <c r="R48" i="3"/>
  <c r="S48" i="3"/>
  <c r="K49" i="3"/>
  <c r="R49" i="3"/>
  <c r="S49" i="3"/>
  <c r="K50" i="3"/>
  <c r="R50" i="3"/>
  <c r="S50" i="3"/>
  <c r="K51" i="3"/>
  <c r="R51" i="3"/>
  <c r="S51" i="3"/>
  <c r="K52" i="3"/>
  <c r="R52" i="3"/>
  <c r="S52" i="3"/>
  <c r="K53" i="3"/>
  <c r="R53" i="3"/>
  <c r="S53" i="3"/>
  <c r="K54" i="3"/>
  <c r="R54" i="3"/>
  <c r="S54" i="3"/>
  <c r="K55" i="3"/>
  <c r="R55" i="3"/>
  <c r="S55" i="3"/>
  <c r="K56" i="3"/>
  <c r="R56" i="3"/>
  <c r="S56" i="3"/>
  <c r="K57" i="3"/>
  <c r="R57" i="3"/>
  <c r="S57" i="3"/>
  <c r="K58" i="3"/>
  <c r="R58" i="3"/>
  <c r="S58" i="3"/>
  <c r="K59" i="3"/>
  <c r="R59" i="3"/>
  <c r="S59" i="3"/>
  <c r="K60" i="3"/>
  <c r="R60" i="3"/>
  <c r="S60" i="3"/>
  <c r="K61" i="3"/>
  <c r="R61" i="3"/>
  <c r="S61" i="3"/>
  <c r="K62" i="3"/>
  <c r="R62" i="3"/>
  <c r="S62" i="3"/>
  <c r="K63" i="3"/>
  <c r="R63" i="3"/>
  <c r="S63" i="3"/>
  <c r="K64" i="3"/>
  <c r="R64" i="3"/>
  <c r="S64" i="3"/>
  <c r="K65" i="3"/>
  <c r="R65" i="3"/>
  <c r="S65" i="3"/>
  <c r="K66" i="3"/>
  <c r="R66" i="3"/>
  <c r="S66" i="3"/>
  <c r="K67" i="3"/>
  <c r="R67" i="3"/>
  <c r="S67" i="3"/>
  <c r="K68" i="3"/>
  <c r="R68" i="3"/>
  <c r="S68" i="3"/>
  <c r="K69" i="3"/>
  <c r="R69" i="3"/>
  <c r="S69" i="3"/>
  <c r="K70" i="3"/>
  <c r="R70" i="3"/>
  <c r="S70" i="3"/>
  <c r="K71" i="3"/>
  <c r="R71" i="3"/>
  <c r="S71" i="3"/>
  <c r="K72" i="3"/>
  <c r="R72" i="3"/>
  <c r="S72" i="3"/>
  <c r="K73" i="3"/>
  <c r="R73" i="3"/>
  <c r="S73" i="3"/>
  <c r="K74" i="3"/>
  <c r="R74" i="3"/>
  <c r="S74" i="3"/>
  <c r="K75" i="3"/>
  <c r="R75" i="3"/>
  <c r="S75" i="3"/>
  <c r="K76" i="3"/>
  <c r="R76" i="3"/>
  <c r="S76" i="3"/>
  <c r="K77" i="3"/>
  <c r="R77" i="3"/>
  <c r="S77" i="3"/>
  <c r="K78" i="3"/>
  <c r="R78" i="3"/>
  <c r="S78" i="3"/>
  <c r="K79" i="3"/>
  <c r="R79" i="3"/>
  <c r="S79" i="3"/>
  <c r="K80" i="3"/>
  <c r="R80" i="3"/>
  <c r="S80" i="3"/>
  <c r="K81" i="3"/>
  <c r="R81" i="3"/>
  <c r="S81" i="3"/>
  <c r="K82" i="3"/>
  <c r="R82" i="3"/>
  <c r="S82" i="3"/>
  <c r="K83" i="3"/>
  <c r="R83" i="3"/>
  <c r="S83" i="3"/>
  <c r="K84" i="3"/>
  <c r="R84" i="3"/>
  <c r="S84" i="3"/>
  <c r="K85" i="3"/>
  <c r="R85" i="3"/>
  <c r="S85" i="3"/>
  <c r="K86" i="3"/>
  <c r="R86" i="3"/>
  <c r="S86" i="3"/>
  <c r="K87" i="3"/>
  <c r="R87" i="3"/>
  <c r="S87" i="3"/>
  <c r="K88" i="3"/>
  <c r="R88" i="3"/>
  <c r="S88" i="3"/>
  <c r="K89" i="3"/>
  <c r="R89" i="3"/>
  <c r="S89" i="3"/>
  <c r="K90" i="3"/>
  <c r="R90" i="3"/>
  <c r="S90" i="3"/>
  <c r="K91" i="3"/>
  <c r="R91" i="3"/>
  <c r="S91" i="3"/>
  <c r="K92" i="3"/>
  <c r="R92" i="3"/>
  <c r="S92" i="3"/>
  <c r="K93" i="3"/>
  <c r="R93" i="3"/>
  <c r="S93" i="3"/>
  <c r="K94" i="3"/>
  <c r="R94" i="3"/>
  <c r="S94" i="3"/>
  <c r="K95" i="3"/>
  <c r="R95" i="3"/>
  <c r="S95" i="3"/>
  <c r="K96" i="3"/>
  <c r="R96" i="3"/>
  <c r="S96" i="3"/>
  <c r="K97" i="3"/>
  <c r="R97" i="3"/>
  <c r="S97" i="3"/>
  <c r="K98" i="3"/>
  <c r="R98" i="3"/>
  <c r="S98" i="3"/>
  <c r="K99" i="3"/>
  <c r="R99" i="3"/>
  <c r="S99" i="3"/>
  <c r="K100" i="3"/>
  <c r="R100" i="3"/>
  <c r="S100" i="3"/>
  <c r="K101" i="3"/>
  <c r="R101" i="3"/>
  <c r="S101" i="3"/>
  <c r="K102" i="3"/>
  <c r="R102" i="3"/>
  <c r="S102" i="3"/>
  <c r="K103" i="3"/>
  <c r="R103" i="3"/>
  <c r="S103" i="3"/>
  <c r="K104" i="3"/>
  <c r="R104" i="3"/>
  <c r="S104" i="3"/>
  <c r="K105" i="3"/>
  <c r="R105" i="3"/>
  <c r="S105" i="3"/>
  <c r="K106" i="3"/>
  <c r="R106" i="3"/>
  <c r="S106" i="3"/>
  <c r="K107" i="3"/>
  <c r="R107" i="3"/>
  <c r="S107" i="3"/>
  <c r="K108" i="3"/>
  <c r="R108" i="3"/>
  <c r="S108" i="3"/>
  <c r="K109" i="3"/>
  <c r="R109" i="3"/>
  <c r="S109" i="3"/>
  <c r="K110" i="3"/>
  <c r="R110" i="3"/>
  <c r="S110" i="3"/>
  <c r="K111" i="3"/>
  <c r="R111" i="3"/>
  <c r="S111" i="3"/>
  <c r="K112" i="3"/>
  <c r="R112" i="3"/>
  <c r="S112" i="3"/>
  <c r="K113" i="3"/>
  <c r="R113" i="3"/>
  <c r="S113" i="3"/>
  <c r="K114" i="3"/>
  <c r="R114" i="3"/>
  <c r="S114" i="3"/>
  <c r="K115" i="3"/>
  <c r="R115" i="3"/>
  <c r="S115" i="3"/>
  <c r="K116" i="3"/>
  <c r="R116" i="3"/>
  <c r="S116" i="3"/>
  <c r="K117" i="3"/>
  <c r="R117" i="3"/>
  <c r="S117" i="3"/>
  <c r="K118" i="3"/>
  <c r="R118" i="3"/>
  <c r="S118" i="3"/>
  <c r="K119" i="3"/>
  <c r="R119" i="3"/>
  <c r="S119" i="3"/>
  <c r="K120" i="3"/>
  <c r="R120" i="3"/>
  <c r="S120" i="3"/>
  <c r="K121" i="3"/>
  <c r="R121" i="3"/>
  <c r="S121" i="3"/>
  <c r="K122" i="3"/>
  <c r="R122" i="3"/>
  <c r="S122" i="3"/>
  <c r="K123" i="3"/>
  <c r="R123" i="3"/>
  <c r="S123" i="3"/>
  <c r="K124" i="3"/>
  <c r="R124" i="3"/>
  <c r="S124" i="3"/>
  <c r="K125" i="3"/>
  <c r="R125" i="3"/>
  <c r="S125" i="3"/>
  <c r="K126" i="3"/>
  <c r="R126" i="3"/>
  <c r="S126" i="3"/>
  <c r="K127" i="3"/>
  <c r="R127" i="3"/>
  <c r="S127" i="3"/>
  <c r="K128" i="3"/>
  <c r="R128" i="3"/>
  <c r="S128" i="3"/>
  <c r="K129" i="3"/>
  <c r="R129" i="3"/>
  <c r="S129" i="3"/>
  <c r="K130" i="3"/>
  <c r="R130" i="3"/>
  <c r="S130" i="3"/>
  <c r="K131" i="3"/>
  <c r="R131" i="3"/>
  <c r="S131" i="3"/>
  <c r="K132" i="3"/>
  <c r="R132" i="3"/>
  <c r="S132" i="3"/>
  <c r="K133" i="3"/>
  <c r="R133" i="3"/>
  <c r="S133" i="3"/>
  <c r="K134" i="3"/>
  <c r="R134" i="3"/>
  <c r="S134" i="3"/>
  <c r="K135" i="3"/>
  <c r="R135" i="3"/>
  <c r="S135" i="3"/>
  <c r="K136" i="3"/>
  <c r="R136" i="3"/>
  <c r="S136" i="3"/>
  <c r="K137" i="3"/>
  <c r="R137" i="3"/>
  <c r="S137" i="3"/>
  <c r="K138" i="3"/>
  <c r="R138" i="3"/>
  <c r="S138" i="3"/>
  <c r="K139" i="3"/>
  <c r="R139" i="3"/>
  <c r="S139" i="3"/>
  <c r="K140" i="3"/>
  <c r="R140" i="3"/>
  <c r="S140" i="3"/>
  <c r="K141" i="3"/>
  <c r="R141" i="3"/>
  <c r="S141" i="3"/>
  <c r="K142" i="3"/>
  <c r="R142" i="3"/>
  <c r="S142" i="3"/>
  <c r="K143" i="3"/>
  <c r="R143" i="3"/>
  <c r="S143" i="3"/>
  <c r="K144" i="3"/>
  <c r="R144" i="3"/>
  <c r="S144" i="3"/>
  <c r="K145" i="3"/>
  <c r="R145" i="3"/>
  <c r="S145" i="3"/>
  <c r="K146" i="3"/>
  <c r="R146" i="3"/>
  <c r="S146" i="3"/>
  <c r="K147" i="3"/>
  <c r="R147" i="3"/>
  <c r="S147" i="3"/>
  <c r="K148" i="3"/>
  <c r="R148" i="3"/>
  <c r="S148" i="3"/>
  <c r="K149" i="3"/>
  <c r="R149" i="3"/>
  <c r="S149" i="3"/>
  <c r="K150" i="3"/>
  <c r="R150" i="3"/>
  <c r="S150" i="3"/>
  <c r="K151" i="3"/>
  <c r="R151" i="3"/>
  <c r="S151" i="3"/>
  <c r="K152" i="3"/>
  <c r="R152" i="3"/>
  <c r="S152" i="3"/>
  <c r="K153" i="3"/>
  <c r="R153" i="3"/>
  <c r="S153" i="3"/>
  <c r="K154" i="3"/>
  <c r="R154" i="3"/>
  <c r="S154" i="3"/>
  <c r="K155" i="3"/>
  <c r="R155" i="3"/>
  <c r="S155" i="3"/>
  <c r="K156" i="3"/>
  <c r="R156" i="3"/>
  <c r="S156" i="3"/>
  <c r="K157" i="3"/>
  <c r="R157" i="3"/>
  <c r="S157" i="3"/>
  <c r="K158" i="3"/>
  <c r="R158" i="3"/>
  <c r="S158" i="3"/>
  <c r="K159" i="3"/>
  <c r="R159" i="3"/>
  <c r="S159" i="3"/>
  <c r="K160" i="3"/>
  <c r="R160" i="3"/>
  <c r="S160" i="3"/>
  <c r="K161" i="3"/>
  <c r="R161" i="3"/>
  <c r="S161" i="3"/>
  <c r="K162" i="3"/>
  <c r="R162" i="3"/>
  <c r="S162" i="3"/>
  <c r="K163" i="3"/>
  <c r="R163" i="3"/>
  <c r="S163" i="3"/>
  <c r="K164" i="3"/>
  <c r="R164" i="3"/>
  <c r="S164" i="3"/>
  <c r="K165" i="3"/>
  <c r="R165" i="3"/>
  <c r="S165" i="3"/>
  <c r="K166" i="3"/>
  <c r="R166" i="3"/>
  <c r="S166" i="3"/>
  <c r="K167" i="3"/>
  <c r="R167" i="3"/>
  <c r="S167" i="3"/>
  <c r="K168" i="3"/>
  <c r="R168" i="3"/>
  <c r="S168" i="3"/>
  <c r="K169" i="3"/>
  <c r="R169" i="3"/>
  <c r="S169" i="3"/>
  <c r="K170" i="3"/>
  <c r="R170" i="3"/>
  <c r="S170" i="3"/>
  <c r="K171" i="3"/>
  <c r="R171" i="3"/>
  <c r="S171" i="3"/>
  <c r="K172" i="3"/>
  <c r="R172" i="3"/>
  <c r="S172" i="3"/>
  <c r="K173" i="3"/>
  <c r="R173" i="3"/>
  <c r="S173" i="3"/>
  <c r="K174" i="3"/>
  <c r="R174" i="3"/>
  <c r="S174" i="3"/>
  <c r="K175" i="3"/>
  <c r="R175" i="3"/>
  <c r="S175" i="3"/>
  <c r="K176" i="3"/>
  <c r="R176" i="3"/>
  <c r="S176" i="3"/>
  <c r="K177" i="3"/>
  <c r="R177" i="3"/>
  <c r="S177" i="3"/>
  <c r="K178" i="3"/>
  <c r="R178" i="3"/>
  <c r="S178" i="3"/>
  <c r="K179" i="3"/>
  <c r="R179" i="3"/>
  <c r="S179" i="3"/>
  <c r="K180" i="3"/>
  <c r="R180" i="3"/>
  <c r="S180" i="3"/>
  <c r="K181" i="3"/>
  <c r="R181" i="3"/>
  <c r="S181" i="3"/>
  <c r="K182" i="3"/>
  <c r="R182" i="3"/>
  <c r="S182" i="3"/>
  <c r="K183" i="3"/>
  <c r="R183" i="3"/>
  <c r="S183" i="3"/>
  <c r="K184" i="3"/>
  <c r="R184" i="3"/>
  <c r="S184" i="3"/>
  <c r="K185" i="3"/>
  <c r="R185" i="3"/>
  <c r="S185" i="3"/>
  <c r="K186" i="3"/>
  <c r="R186" i="3"/>
  <c r="S186" i="3"/>
  <c r="K187" i="3"/>
  <c r="R187" i="3"/>
  <c r="S187" i="3"/>
  <c r="K188" i="3"/>
  <c r="R188" i="3"/>
  <c r="S188" i="3"/>
  <c r="K189" i="3"/>
  <c r="R189" i="3"/>
  <c r="S189" i="3"/>
  <c r="K190" i="3"/>
  <c r="R190" i="3"/>
  <c r="S190" i="3"/>
  <c r="K191" i="3"/>
  <c r="R191" i="3"/>
  <c r="S191" i="3"/>
  <c r="K192" i="3"/>
  <c r="R192" i="3"/>
  <c r="S192" i="3"/>
  <c r="K193" i="3"/>
  <c r="R193" i="3"/>
  <c r="S193" i="3"/>
  <c r="K194" i="3"/>
  <c r="R194" i="3"/>
  <c r="S194" i="3"/>
  <c r="K195" i="3"/>
  <c r="R195" i="3"/>
  <c r="S195" i="3"/>
  <c r="K196" i="3"/>
  <c r="R196" i="3"/>
  <c r="S196" i="3"/>
  <c r="K197" i="3"/>
  <c r="R197" i="3"/>
  <c r="S197" i="3"/>
  <c r="K198" i="3"/>
  <c r="R198" i="3"/>
  <c r="S198" i="3"/>
  <c r="K199" i="3"/>
  <c r="R199" i="3"/>
  <c r="S199" i="3"/>
  <c r="K200" i="3"/>
  <c r="R200" i="3"/>
  <c r="S200" i="3"/>
  <c r="K201" i="3"/>
  <c r="R201" i="3"/>
  <c r="S201" i="3"/>
  <c r="K202" i="3"/>
  <c r="R202" i="3"/>
  <c r="S202" i="3"/>
  <c r="K203" i="3"/>
  <c r="R203" i="3"/>
  <c r="S203" i="3"/>
  <c r="K204" i="3"/>
  <c r="R204" i="3"/>
  <c r="S204" i="3"/>
  <c r="K205" i="3"/>
  <c r="R205" i="3"/>
  <c r="S205" i="3"/>
  <c r="K206" i="3"/>
  <c r="R206" i="3"/>
  <c r="S206" i="3"/>
  <c r="K207" i="3"/>
  <c r="R207" i="3"/>
  <c r="S207" i="3"/>
  <c r="K208" i="3"/>
  <c r="R208" i="3"/>
  <c r="S208" i="3"/>
  <c r="K209" i="3"/>
  <c r="R209" i="3"/>
  <c r="S209" i="3"/>
  <c r="K210" i="3"/>
  <c r="R210" i="3"/>
  <c r="S210" i="3"/>
  <c r="K211" i="3"/>
  <c r="R211" i="3"/>
  <c r="S211" i="3"/>
  <c r="K212" i="3"/>
  <c r="R212" i="3"/>
  <c r="S212" i="3"/>
  <c r="K213" i="3"/>
  <c r="R213" i="3"/>
  <c r="S213" i="3"/>
  <c r="K214" i="3"/>
  <c r="R214" i="3"/>
  <c r="S214" i="3"/>
  <c r="K215" i="3"/>
  <c r="R215" i="3"/>
  <c r="S215" i="3"/>
  <c r="K216" i="3"/>
  <c r="R216" i="3"/>
  <c r="S216" i="3"/>
  <c r="K217" i="3"/>
  <c r="R217" i="3"/>
  <c r="S217" i="3"/>
  <c r="K218" i="3"/>
  <c r="R218" i="3"/>
  <c r="S218" i="3"/>
  <c r="K219" i="3"/>
  <c r="R219" i="3"/>
  <c r="S219" i="3"/>
  <c r="K220" i="3"/>
  <c r="R220" i="3"/>
  <c r="S220" i="3"/>
  <c r="K221" i="3"/>
  <c r="R221" i="3"/>
  <c r="S221" i="3"/>
  <c r="K222" i="3"/>
  <c r="R222" i="3"/>
  <c r="S222" i="3"/>
  <c r="K223" i="3"/>
  <c r="R223" i="3"/>
  <c r="S223" i="3"/>
  <c r="K224" i="3"/>
  <c r="R224" i="3"/>
  <c r="S224" i="3"/>
  <c r="K225" i="3"/>
  <c r="R225" i="3"/>
  <c r="S225" i="3"/>
  <c r="K226" i="3"/>
  <c r="R226" i="3"/>
  <c r="S226" i="3"/>
  <c r="K227" i="3"/>
  <c r="R227" i="3"/>
  <c r="S227" i="3"/>
  <c r="K228" i="3"/>
  <c r="R228" i="3"/>
  <c r="S228" i="3"/>
  <c r="K229" i="3"/>
  <c r="R229" i="3"/>
  <c r="S229" i="3"/>
  <c r="K230" i="3"/>
  <c r="R230" i="3"/>
  <c r="S230" i="3"/>
  <c r="K231" i="3"/>
  <c r="R231" i="3"/>
  <c r="S231" i="3"/>
  <c r="K232" i="3"/>
  <c r="R232" i="3"/>
  <c r="S232" i="3"/>
  <c r="K233" i="3"/>
  <c r="R233" i="3"/>
  <c r="S233" i="3"/>
  <c r="K234" i="3"/>
  <c r="R234" i="3"/>
  <c r="S234" i="3"/>
  <c r="K235" i="3"/>
  <c r="R235" i="3"/>
  <c r="S235" i="3"/>
  <c r="K236" i="3"/>
  <c r="R236" i="3"/>
  <c r="S236" i="3"/>
  <c r="K237" i="3"/>
  <c r="R237" i="3"/>
  <c r="S237" i="3"/>
  <c r="K238" i="3"/>
  <c r="R238" i="3"/>
  <c r="S238" i="3"/>
  <c r="K239" i="3"/>
  <c r="R239" i="3"/>
  <c r="S239" i="3"/>
  <c r="K240" i="3"/>
  <c r="R240" i="3"/>
  <c r="S240" i="3"/>
  <c r="K241" i="3"/>
  <c r="R241" i="3"/>
  <c r="S241" i="3"/>
  <c r="K242" i="3"/>
  <c r="R242" i="3"/>
  <c r="S242" i="3"/>
  <c r="K243" i="3"/>
  <c r="R243" i="3"/>
  <c r="S243" i="3"/>
  <c r="K244" i="3"/>
  <c r="R244" i="3"/>
  <c r="S244" i="3"/>
  <c r="K245" i="3"/>
  <c r="R245" i="3"/>
  <c r="S245" i="3"/>
  <c r="K246" i="3"/>
  <c r="R246" i="3"/>
  <c r="S246" i="3"/>
  <c r="K247" i="3"/>
  <c r="R247" i="3"/>
  <c r="S247" i="3"/>
  <c r="K248" i="3"/>
  <c r="R248" i="3"/>
  <c r="S248" i="3"/>
  <c r="K249" i="3"/>
  <c r="R249" i="3"/>
  <c r="S249" i="3"/>
  <c r="K250" i="3"/>
  <c r="R250" i="3"/>
  <c r="S250" i="3"/>
  <c r="K251" i="3"/>
  <c r="R251" i="3"/>
  <c r="S251" i="3"/>
  <c r="K252" i="3"/>
  <c r="R252" i="3"/>
  <c r="S252" i="3"/>
  <c r="K253" i="3"/>
  <c r="R253" i="3"/>
  <c r="S253" i="3"/>
  <c r="K254" i="3"/>
  <c r="R254" i="3"/>
  <c r="S254" i="3"/>
  <c r="K255" i="3"/>
  <c r="R255" i="3"/>
  <c r="S255" i="3"/>
  <c r="K256" i="3"/>
  <c r="R256" i="3"/>
  <c r="S256" i="3"/>
  <c r="K257" i="3"/>
  <c r="R257" i="3"/>
  <c r="S257" i="3"/>
  <c r="K258" i="3"/>
  <c r="R258" i="3"/>
  <c r="S258" i="3"/>
  <c r="K259" i="3"/>
  <c r="R259" i="3"/>
  <c r="S259" i="3"/>
  <c r="K260" i="3"/>
  <c r="R260" i="3"/>
  <c r="S260" i="3"/>
  <c r="K261" i="3"/>
  <c r="R261" i="3"/>
  <c r="S261" i="3"/>
  <c r="K262" i="3"/>
  <c r="R262" i="3"/>
  <c r="S262" i="3"/>
  <c r="K263" i="3"/>
  <c r="R263" i="3"/>
  <c r="S263" i="3"/>
  <c r="K264" i="3"/>
  <c r="R264" i="3"/>
  <c r="S264" i="3"/>
  <c r="K265" i="3"/>
  <c r="R265" i="3"/>
  <c r="S265" i="3"/>
  <c r="K266" i="3"/>
  <c r="R266" i="3"/>
  <c r="S266" i="3"/>
  <c r="K267" i="3"/>
  <c r="R267" i="3"/>
  <c r="S267" i="3"/>
  <c r="K268" i="3"/>
  <c r="R268" i="3"/>
  <c r="S268" i="3"/>
  <c r="K269" i="3"/>
  <c r="R269" i="3"/>
  <c r="S269" i="3"/>
  <c r="K270" i="3"/>
  <c r="R270" i="3"/>
  <c r="S270" i="3"/>
  <c r="K271" i="3"/>
  <c r="R271" i="3"/>
  <c r="S271" i="3"/>
  <c r="K272" i="3"/>
  <c r="R272" i="3"/>
  <c r="S272" i="3"/>
  <c r="K273" i="3"/>
  <c r="R273" i="3"/>
  <c r="S273" i="3"/>
  <c r="K274" i="3"/>
  <c r="R274" i="3"/>
  <c r="S274" i="3"/>
  <c r="K275" i="3"/>
  <c r="R275" i="3"/>
  <c r="S275" i="3"/>
  <c r="K276" i="3"/>
  <c r="R276" i="3"/>
  <c r="S276" i="3"/>
  <c r="K277" i="3"/>
  <c r="R277" i="3"/>
  <c r="S277" i="3"/>
  <c r="K278" i="3"/>
  <c r="R278" i="3"/>
  <c r="S278" i="3"/>
  <c r="K279" i="3"/>
  <c r="R279" i="3"/>
  <c r="S279" i="3"/>
  <c r="K280" i="3"/>
  <c r="R280" i="3"/>
  <c r="S280" i="3"/>
  <c r="K281" i="3"/>
  <c r="R281" i="3"/>
  <c r="S281" i="3"/>
  <c r="K282" i="3"/>
  <c r="R282" i="3"/>
  <c r="S282" i="3"/>
  <c r="K283" i="3"/>
  <c r="R283" i="3"/>
  <c r="S283" i="3"/>
  <c r="K284" i="3"/>
  <c r="R284" i="3"/>
  <c r="S284" i="3"/>
  <c r="K285" i="3"/>
  <c r="R285" i="3"/>
  <c r="S285" i="3"/>
  <c r="K286" i="3"/>
  <c r="R286" i="3"/>
  <c r="S286" i="3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A3" i="3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W286" i="3"/>
  <c r="W285" i="3"/>
  <c r="W284" i="3"/>
  <c r="W283" i="3"/>
  <c r="W282" i="3"/>
  <c r="W281" i="3"/>
  <c r="W280" i="3"/>
  <c r="W279" i="3"/>
  <c r="W278" i="3"/>
  <c r="W277" i="3"/>
  <c r="W276" i="3"/>
  <c r="W275" i="3"/>
  <c r="W274" i="3"/>
  <c r="W273" i="3"/>
  <c r="W272" i="3"/>
  <c r="W271" i="3"/>
  <c r="W270" i="3"/>
  <c r="W269" i="3"/>
  <c r="W268" i="3"/>
  <c r="W267" i="3"/>
  <c r="W266" i="3"/>
  <c r="W265" i="3"/>
  <c r="W264" i="3"/>
  <c r="W263" i="3"/>
  <c r="W262" i="3"/>
  <c r="W261" i="3"/>
  <c r="W260" i="3"/>
  <c r="W259" i="3"/>
  <c r="W258" i="3"/>
  <c r="W257" i="3"/>
  <c r="W256" i="3"/>
  <c r="W255" i="3"/>
  <c r="W254" i="3"/>
  <c r="W253" i="3"/>
  <c r="W252" i="3"/>
  <c r="W251" i="3"/>
  <c r="W250" i="3"/>
  <c r="W249" i="3"/>
  <c r="W248" i="3"/>
  <c r="W247" i="3"/>
  <c r="W246" i="3"/>
  <c r="W245" i="3"/>
  <c r="W244" i="3"/>
  <c r="W243" i="3"/>
  <c r="W242" i="3"/>
  <c r="W241" i="3"/>
  <c r="W240" i="3"/>
  <c r="W239" i="3"/>
  <c r="W238" i="3"/>
  <c r="R2" i="3" l="1"/>
  <c r="W3" i="3"/>
  <c r="H341" i="3" l="1"/>
  <c r="H339" i="3"/>
  <c r="H324" i="3"/>
  <c r="H322" i="3"/>
  <c r="H313" i="3"/>
  <c r="H312" i="3"/>
  <c r="H295" i="3"/>
  <c r="H15" i="3"/>
  <c r="H23" i="3"/>
  <c r="H29" i="3"/>
  <c r="H45" i="3"/>
  <c r="H48" i="3"/>
  <c r="H54" i="3"/>
  <c r="H70" i="3"/>
  <c r="H83" i="3"/>
  <c r="H97" i="3"/>
  <c r="H151" i="3"/>
  <c r="H155" i="3"/>
  <c r="H168" i="3"/>
  <c r="H172" i="3"/>
  <c r="H184" i="3"/>
  <c r="H191" i="3"/>
  <c r="H198" i="3"/>
  <c r="H205" i="3"/>
  <c r="H216" i="3"/>
  <c r="H223" i="3"/>
  <c r="H234" i="3"/>
  <c r="H238" i="3"/>
  <c r="H244" i="3"/>
  <c r="H252" i="3"/>
  <c r="H260" i="3"/>
  <c r="H268" i="3"/>
  <c r="H276" i="3"/>
  <c r="H284" i="3"/>
  <c r="H257" i="3"/>
  <c r="H273" i="3"/>
  <c r="H49" i="3"/>
  <c r="H81" i="3"/>
  <c r="H93" i="3"/>
  <c r="H112" i="3"/>
  <c r="H342" i="3"/>
  <c r="H334" i="3"/>
  <c r="H333" i="3"/>
  <c r="H331" i="3"/>
  <c r="H316" i="3"/>
  <c r="H314" i="3"/>
  <c r="H305" i="3"/>
  <c r="H304" i="3"/>
  <c r="H287" i="3"/>
  <c r="H12" i="3"/>
  <c r="H20" i="3"/>
  <c r="H32" i="3"/>
  <c r="H35" i="3"/>
  <c r="H38" i="3"/>
  <c r="H57" i="3"/>
  <c r="H60" i="3"/>
  <c r="H63" i="3"/>
  <c r="H73" i="3"/>
  <c r="H76" i="3"/>
  <c r="H79" i="3"/>
  <c r="H86" i="3"/>
  <c r="H102" i="3"/>
  <c r="H106" i="3"/>
  <c r="H110" i="3"/>
  <c r="H114" i="3"/>
  <c r="H118" i="3"/>
  <c r="H122" i="3"/>
  <c r="H126" i="3"/>
  <c r="H130" i="3"/>
  <c r="H134" i="3"/>
  <c r="H138" i="3"/>
  <c r="H142" i="3"/>
  <c r="H146" i="3"/>
  <c r="H159" i="3"/>
  <c r="H163" i="3"/>
  <c r="H180" i="3"/>
  <c r="H187" i="3"/>
  <c r="H194" i="3"/>
  <c r="H201" i="3"/>
  <c r="H212" i="3"/>
  <c r="H219" i="3"/>
  <c r="H226" i="3"/>
  <c r="H230" i="3"/>
  <c r="H237" i="3"/>
  <c r="H241" i="3"/>
  <c r="H249" i="3"/>
  <c r="H265" i="3"/>
  <c r="H281" i="3"/>
  <c r="H52" i="3"/>
  <c r="H88" i="3"/>
  <c r="H94" i="3"/>
  <c r="H326" i="3"/>
  <c r="H325" i="3"/>
  <c r="H323" i="3"/>
  <c r="H308" i="3"/>
  <c r="H306" i="3"/>
  <c r="H297" i="3"/>
  <c r="H296" i="3"/>
  <c r="H17" i="3"/>
  <c r="H25" i="3"/>
  <c r="H41" i="3"/>
  <c r="H47" i="3"/>
  <c r="H50" i="3"/>
  <c r="H66" i="3"/>
  <c r="H82" i="3"/>
  <c r="H96" i="3"/>
  <c r="H101" i="3"/>
  <c r="H150" i="3"/>
  <c r="H154" i="3"/>
  <c r="H167" i="3"/>
  <c r="H171" i="3"/>
  <c r="H176" i="3"/>
  <c r="H183" i="3"/>
  <c r="H190" i="3"/>
  <c r="H197" i="3"/>
  <c r="H208" i="3"/>
  <c r="H215" i="3"/>
  <c r="H222" i="3"/>
  <c r="H229" i="3"/>
  <c r="H233" i="3"/>
  <c r="H246" i="3"/>
  <c r="H254" i="3"/>
  <c r="H262" i="3"/>
  <c r="H270" i="3"/>
  <c r="H278" i="3"/>
  <c r="H286" i="3"/>
  <c r="H162" i="3"/>
  <c r="H186" i="3"/>
  <c r="H193" i="3"/>
  <c r="H204" i="3"/>
  <c r="H218" i="3"/>
  <c r="H243" i="3"/>
  <c r="H251" i="3"/>
  <c r="H267" i="3"/>
  <c r="H275" i="3"/>
  <c r="H302" i="3"/>
  <c r="H27" i="3"/>
  <c r="H30" i="3"/>
  <c r="H40" i="3"/>
  <c r="H55" i="3"/>
  <c r="H68" i="3"/>
  <c r="H89" i="3"/>
  <c r="H92" i="3"/>
  <c r="H99" i="3"/>
  <c r="H116" i="3"/>
  <c r="H335" i="3"/>
  <c r="H318" i="3"/>
  <c r="H317" i="3"/>
  <c r="H315" i="3"/>
  <c r="H300" i="3"/>
  <c r="H298" i="3"/>
  <c r="H289" i="3"/>
  <c r="H288" i="3"/>
  <c r="H14" i="3"/>
  <c r="H22" i="3"/>
  <c r="H28" i="3"/>
  <c r="H31" i="3"/>
  <c r="H34" i="3"/>
  <c r="H44" i="3"/>
  <c r="H53" i="3"/>
  <c r="H56" i="3"/>
  <c r="H59" i="3"/>
  <c r="H69" i="3"/>
  <c r="H72" i="3"/>
  <c r="H75" i="3"/>
  <c r="H95" i="3"/>
  <c r="H109" i="3"/>
  <c r="H113" i="3"/>
  <c r="H117" i="3"/>
  <c r="H121" i="3"/>
  <c r="H125" i="3"/>
  <c r="H129" i="3"/>
  <c r="H133" i="3"/>
  <c r="H137" i="3"/>
  <c r="H141" i="3"/>
  <c r="H145" i="3"/>
  <c r="H158" i="3"/>
  <c r="H179" i="3"/>
  <c r="H211" i="3"/>
  <c r="H225" i="3"/>
  <c r="H259" i="3"/>
  <c r="H283" i="3"/>
  <c r="H301" i="3"/>
  <c r="H16" i="3"/>
  <c r="H46" i="3"/>
  <c r="H65" i="3"/>
  <c r="H90" i="3"/>
  <c r="H327" i="3"/>
  <c r="H310" i="3"/>
  <c r="H309" i="3"/>
  <c r="H307" i="3"/>
  <c r="H292" i="3"/>
  <c r="H290" i="3"/>
  <c r="H11" i="3"/>
  <c r="H19" i="3"/>
  <c r="H37" i="3"/>
  <c r="H62" i="3"/>
  <c r="H78" i="3"/>
  <c r="H85" i="3"/>
  <c r="H100" i="3"/>
  <c r="H105" i="3"/>
  <c r="H149" i="3"/>
  <c r="H153" i="3"/>
  <c r="H166" i="3"/>
  <c r="H170" i="3"/>
  <c r="H175" i="3"/>
  <c r="H182" i="3"/>
  <c r="H189" i="3"/>
  <c r="H200" i="3"/>
  <c r="H207" i="3"/>
  <c r="H214" i="3"/>
  <c r="H221" i="3"/>
  <c r="H236" i="3"/>
  <c r="H240" i="3"/>
  <c r="H248" i="3"/>
  <c r="H256" i="3"/>
  <c r="H264" i="3"/>
  <c r="H272" i="3"/>
  <c r="H280" i="3"/>
  <c r="H337" i="3"/>
  <c r="H336" i="3"/>
  <c r="H319" i="3"/>
  <c r="H299" i="3"/>
  <c r="H24" i="3"/>
  <c r="H43" i="3"/>
  <c r="H71" i="3"/>
  <c r="H91" i="3"/>
  <c r="H108" i="3"/>
  <c r="H332" i="3"/>
  <c r="H294" i="3"/>
  <c r="H13" i="3"/>
  <c r="H39" i="3"/>
  <c r="H74" i="3"/>
  <c r="H87" i="3"/>
  <c r="H103" i="3"/>
  <c r="H136" i="3"/>
  <c r="H156" i="3"/>
  <c r="H67" i="3"/>
  <c r="H124" i="3"/>
  <c r="H127" i="3"/>
  <c r="H165" i="3"/>
  <c r="H173" i="3"/>
  <c r="H192" i="3"/>
  <c r="H213" i="3"/>
  <c r="H232" i="3"/>
  <c r="H255" i="3"/>
  <c r="H266" i="3"/>
  <c r="H277" i="3"/>
  <c r="H271" i="3"/>
  <c r="H242" i="3"/>
  <c r="H21" i="3"/>
  <c r="H58" i="3"/>
  <c r="H80" i="3"/>
  <c r="H144" i="3"/>
  <c r="H147" i="3"/>
  <c r="H181" i="3"/>
  <c r="H202" i="3"/>
  <c r="H210" i="3"/>
  <c r="H239" i="3"/>
  <c r="H279" i="3"/>
  <c r="H224" i="3"/>
  <c r="H311" i="3"/>
  <c r="H303" i="3"/>
  <c r="H10" i="3"/>
  <c r="H36" i="3"/>
  <c r="H51" i="3"/>
  <c r="H84" i="3"/>
  <c r="H132" i="3"/>
  <c r="H135" i="3"/>
  <c r="H161" i="3"/>
  <c r="H164" i="3"/>
  <c r="H178" i="3"/>
  <c r="H199" i="3"/>
  <c r="H231" i="3"/>
  <c r="H250" i="3"/>
  <c r="H261" i="3"/>
  <c r="H228" i="3"/>
  <c r="H274" i="3"/>
  <c r="H195" i="3"/>
  <c r="H282" i="3"/>
  <c r="H139" i="3"/>
  <c r="H328" i="3"/>
  <c r="H64" i="3"/>
  <c r="H115" i="3"/>
  <c r="H120" i="3"/>
  <c r="H123" i="3"/>
  <c r="H152" i="3"/>
  <c r="H169" i="3"/>
  <c r="H209" i="3"/>
  <c r="H263" i="3"/>
  <c r="H285" i="3"/>
  <c r="H235" i="3"/>
  <c r="H111" i="3"/>
  <c r="H338" i="3"/>
  <c r="H329" i="3"/>
  <c r="H291" i="3"/>
  <c r="H18" i="3"/>
  <c r="H42" i="3"/>
  <c r="H77" i="3"/>
  <c r="H107" i="3"/>
  <c r="H140" i="3"/>
  <c r="H143" i="3"/>
  <c r="H160" i="3"/>
  <c r="H177" i="3"/>
  <c r="H196" i="3"/>
  <c r="H217" i="3"/>
  <c r="H220" i="3"/>
  <c r="H245" i="3"/>
  <c r="H340" i="3"/>
  <c r="H119" i="3"/>
  <c r="H203" i="3"/>
  <c r="H253" i="3"/>
  <c r="H330" i="3"/>
  <c r="H320" i="3"/>
  <c r="H33" i="3"/>
  <c r="H98" i="3"/>
  <c r="H104" i="3"/>
  <c r="H128" i="3"/>
  <c r="H131" i="3"/>
  <c r="H157" i="3"/>
  <c r="H185" i="3"/>
  <c r="H188" i="3"/>
  <c r="H206" i="3"/>
  <c r="H227" i="3"/>
  <c r="H247" i="3"/>
  <c r="H258" i="3"/>
  <c r="H269" i="3"/>
  <c r="H321" i="3"/>
  <c r="H293" i="3"/>
  <c r="H26" i="3"/>
  <c r="H61" i="3"/>
  <c r="H174" i="3"/>
  <c r="H148" i="3"/>
  <c r="W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<sst xmlns="http://schemas.openxmlformats.org/spreadsheetml/2006/main" count="2287" uniqueCount="260">
  <si>
    <t>PRIME BUILD</t>
  </si>
  <si>
    <t>PAYROLL JNL TEMPLATE</t>
  </si>
  <si>
    <t>State</t>
  </si>
  <si>
    <t>SVS</t>
  </si>
  <si>
    <t>Frequency</t>
  </si>
  <si>
    <t>FN</t>
  </si>
  <si>
    <t>Costing Work ID</t>
  </si>
  <si>
    <t>Payment Date</t>
  </si>
  <si>
    <t>Dissection</t>
  </si>
  <si>
    <t>Description</t>
  </si>
  <si>
    <t>Costing Work Id</t>
  </si>
  <si>
    <t>Job</t>
  </si>
  <si>
    <t>Cost Code</t>
  </si>
  <si>
    <t>Cost Type</t>
  </si>
  <si>
    <t>Resource Code</t>
  </si>
  <si>
    <t>GL Account</t>
  </si>
  <si>
    <t>Quantity</t>
  </si>
  <si>
    <t>UOM</t>
  </si>
  <si>
    <t>Amount</t>
  </si>
  <si>
    <t>Normal Value</t>
  </si>
  <si>
    <t>Allowance Value</t>
  </si>
  <si>
    <t>On Cost Value</t>
  </si>
  <si>
    <t>Tax Code</t>
  </si>
  <si>
    <t>Tax Percentage</t>
  </si>
  <si>
    <t>Tax Amount</t>
  </si>
  <si>
    <t>Internal Reference</t>
  </si>
  <si>
    <t>External Reference</t>
  </si>
  <si>
    <t>Asset Work Id</t>
  </si>
  <si>
    <t>Asset</t>
  </si>
  <si>
    <t>Small Order Revenue</t>
  </si>
  <si>
    <t>Text</t>
  </si>
  <si>
    <t>Posting Date</t>
  </si>
  <si>
    <t>Document No.</t>
  </si>
  <si>
    <t>Account Type</t>
  </si>
  <si>
    <t>Account No.</t>
  </si>
  <si>
    <t>Account Name</t>
  </si>
  <si>
    <t>Units</t>
  </si>
  <si>
    <t>Pay Period Starting</t>
  </si>
  <si>
    <t>Pay Period Ending</t>
  </si>
  <si>
    <t>Keypay Location</t>
  </si>
  <si>
    <t>Shortcut Dimension 1 Code</t>
  </si>
  <si>
    <t>Shortcut Dimension 2 Code</t>
  </si>
  <si>
    <t>WK</t>
  </si>
  <si>
    <t>NSW</t>
  </si>
  <si>
    <t>AccountCode</t>
  </si>
  <si>
    <t>AccountName</t>
  </si>
  <si>
    <t>AccountType</t>
  </si>
  <si>
    <t>QLD</t>
  </si>
  <si>
    <t>9504</t>
  </si>
  <si>
    <t>Salaries - Admin</t>
  </si>
  <si>
    <t>Expense</t>
  </si>
  <si>
    <t>1101</t>
  </si>
  <si>
    <t>CBA Cheque Account</t>
  </si>
  <si>
    <t>VIC</t>
  </si>
  <si>
    <t>9505</t>
  </si>
  <si>
    <t>Estimating Salaries</t>
  </si>
  <si>
    <t>3201</t>
  </si>
  <si>
    <t>PAYG Withholding Tax</t>
  </si>
  <si>
    <t>Liability</t>
  </si>
  <si>
    <t>ROL</t>
  </si>
  <si>
    <t>9506</t>
  </si>
  <si>
    <t>PM Time on Tendering</t>
  </si>
  <si>
    <t>3202</t>
  </si>
  <si>
    <t>Payroll Tax Payable</t>
  </si>
  <si>
    <t>9507</t>
  </si>
  <si>
    <t>Finance Salaries</t>
  </si>
  <si>
    <t>3204</t>
  </si>
  <si>
    <t>Superannuation Clearing</t>
  </si>
  <si>
    <t>9508</t>
  </si>
  <si>
    <t>Operations Salaries</t>
  </si>
  <si>
    <t>3205</t>
  </si>
  <si>
    <t>Payroll Clearing</t>
  </si>
  <si>
    <t>9509</t>
  </si>
  <si>
    <t>Quality Salaries</t>
  </si>
  <si>
    <t>3206</t>
  </si>
  <si>
    <t>Other Payroll Deductions</t>
  </si>
  <si>
    <t>9510</t>
  </si>
  <si>
    <t>Executive Salaries</t>
  </si>
  <si>
    <t>3451</t>
  </si>
  <si>
    <t>Annual Leave Entitlements</t>
  </si>
  <si>
    <t>9511</t>
  </si>
  <si>
    <t>Wages &amp; Salaries</t>
  </si>
  <si>
    <t>3452</t>
  </si>
  <si>
    <t>Sick &amp; Personal Leave Entitlem</t>
  </si>
  <si>
    <t>9515</t>
  </si>
  <si>
    <t>Comps &amp; Bonus</t>
  </si>
  <si>
    <t>3453</t>
  </si>
  <si>
    <t>RDO Accrual</t>
  </si>
  <si>
    <t>9517</t>
  </si>
  <si>
    <t>Safety Salaries</t>
  </si>
  <si>
    <t>3454</t>
  </si>
  <si>
    <t>LSL Provision</t>
  </si>
  <si>
    <t>9534</t>
  </si>
  <si>
    <t>Salaries - P&amp;C</t>
  </si>
  <si>
    <t>3456</t>
  </si>
  <si>
    <t>Operations SLPHUni Accrual</t>
  </si>
  <si>
    <t>9536</t>
  </si>
  <si>
    <t>S&amp;W - Cadets 50%</t>
  </si>
  <si>
    <t>3553</t>
  </si>
  <si>
    <t>Provision - WCompensation</t>
  </si>
  <si>
    <t xml:space="preserve"> </t>
  </si>
  <si>
    <t>General Ledger Journal Download</t>
  </si>
  <si>
    <t/>
  </si>
  <si>
    <t>Batch</t>
  </si>
  <si>
    <t>Work Id</t>
  </si>
  <si>
    <t>Date</t>
  </si>
  <si>
    <t>Period</t>
  </si>
  <si>
    <t>Batch Type</t>
  </si>
  <si>
    <t>Debit Check Sum</t>
  </si>
  <si>
    <t>Line Count Check</t>
  </si>
  <si>
    <t>G</t>
  </si>
  <si>
    <t>Error Message</t>
  </si>
  <si>
    <t>POSTED</t>
  </si>
  <si>
    <t>CON</t>
  </si>
  <si>
    <t>LB</t>
  </si>
  <si>
    <t>01-01-05</t>
  </si>
  <si>
    <t>01-01-02</t>
  </si>
  <si>
    <t>0</t>
  </si>
  <si>
    <t>W1</t>
  </si>
  <si>
    <t>01-01-13</t>
  </si>
  <si>
    <t>01-15-99</t>
  </si>
  <si>
    <t>01-02-03</t>
  </si>
  <si>
    <t>PRIME BUILD HOLDINGS PTY LIMITED</t>
  </si>
  <si>
    <t>Estimating - VIC - PBV</t>
  </si>
  <si>
    <t>209505</t>
  </si>
  <si>
    <t>C24503</t>
  </si>
  <si>
    <t>C24503 - 01-01-02 Project Manager</t>
  </si>
  <si>
    <t>20/C24503/01-01-02/LB/J</t>
  </si>
  <si>
    <t>C24503 - 01-01-05 Contract Administrator</t>
  </si>
  <si>
    <t>20/C24503/01-01-05/LB/J</t>
  </si>
  <si>
    <t>C24505</t>
  </si>
  <si>
    <t>9710670</t>
  </si>
  <si>
    <t>PayID 9710670 - 18.02.24 ()</t>
  </si>
  <si>
    <t>PayID 9710670 - 18.02.24 (Executive - VIC - PBV)</t>
  </si>
  <si>
    <t>Executive - VIC - PBV</t>
  </si>
  <si>
    <t>209510</t>
  </si>
  <si>
    <t>PayID 9710670 - 18.02.24 (PRIME BUILD HOLDINGS PTY</t>
  </si>
  <si>
    <t>PayID 9710670 - 18.02.24 (C23514 - 01-01-02 Projec</t>
  </si>
  <si>
    <t>C23514 - 01-01-02 Project Manager</t>
  </si>
  <si>
    <t>20/C23514/01-01-02/LB/J</t>
  </si>
  <si>
    <t>PayID 9710670 - 18.02.24 (C23514 - 01-01-05 Contra</t>
  </si>
  <si>
    <t>C23514 - 01-01-05 Contract Administrator</t>
  </si>
  <si>
    <t>20/C23514/01-01-05/LB/J</t>
  </si>
  <si>
    <t>PayID 9710670 - 18.02.24 (C23514 - 01-02-03 Site M</t>
  </si>
  <si>
    <t>C23514 - 01-02-03 Site Manager</t>
  </si>
  <si>
    <t>20/C23514/01-02-03/LB/J</t>
  </si>
  <si>
    <t>PayID 9710670 - 18.02.24 (C24501 - 01-01-05 Contra</t>
  </si>
  <si>
    <t>C24501 - 01-01-05 Contract Administrator</t>
  </si>
  <si>
    <t>20/C24501/01-01-05/LB/J</t>
  </si>
  <si>
    <t>PayID 9710670 - 18.02.24 (C24503 - 01-01-02 Projec</t>
  </si>
  <si>
    <t>PayID 9710670 - 18.02.24 (C24503 - 01-01-05 Contra</t>
  </si>
  <si>
    <t>PayID 9710670 - 18.02.24 (C24503 - 01-15-99 Yard E</t>
  </si>
  <si>
    <t>C24503 - 01-15-99 Yard Establishment Items</t>
  </si>
  <si>
    <t>20/C24503/01-15-99/LB/J</t>
  </si>
  <si>
    <t>PayID 9710670 - 18.02.24 (C24504 - 01-01-02 Projec</t>
  </si>
  <si>
    <t>C24504 - 01-01-02 Project Manager</t>
  </si>
  <si>
    <t>20/C24504/01-01-02/LB/J</t>
  </si>
  <si>
    <t>PayID 9710670 - 18.02.24 (C24504 - 01-01-05 Contra</t>
  </si>
  <si>
    <t>C24504 - 01-01-05 Contract Administrator</t>
  </si>
  <si>
    <t>20/C24504/01-01-05/LB/J</t>
  </si>
  <si>
    <t>PayID 9710670 - 18.02.24 (C24504 - 01-01-13 Site O</t>
  </si>
  <si>
    <t>C24504 - 01-01-13 Site Operations Manager</t>
  </si>
  <si>
    <t>20/C24504/01-01-13/LB/J</t>
  </si>
  <si>
    <t>PayID 9710670 - 18.02.24 (C24504 - 01-02-03 Site M</t>
  </si>
  <si>
    <t>C24504 - 01-02-03 Site Manager</t>
  </si>
  <si>
    <t>20/C24504/01-02-03/LB/J</t>
  </si>
  <si>
    <t xml:space="preserve">PayID 9710670 - 18.02.24 (D24001 - 01-02-09 Whseq </t>
  </si>
  <si>
    <t>D24001 - 01-02-09 Whseq - Time</t>
  </si>
  <si>
    <t>10/D24001/01-02-09/LB/J</t>
  </si>
  <si>
    <t xml:space="preserve">PayID 9710670 - 18.02.24 (D24501 - 01-02-09 Whseq </t>
  </si>
  <si>
    <t>D24501 - 01-02-09 Whseq - Time</t>
  </si>
  <si>
    <t>20/D24501/01-02-09/LB/J</t>
  </si>
  <si>
    <t>PayID 9710670 - 18.02.24 (C24505 - 01-02-03 Site M</t>
  </si>
  <si>
    <t>C24505 - 01-02-03 Site Manager</t>
  </si>
  <si>
    <t>20/C24505/01-02-03/LB/J</t>
  </si>
  <si>
    <t>PayID 9710670 - 18.02.24 (C24506 - 01-01-02 Projec</t>
  </si>
  <si>
    <t>C24506 - 01-01-02 Project Manager</t>
  </si>
  <si>
    <t>20/C24506/01-01-02/LB/J</t>
  </si>
  <si>
    <t>PayID 9710670 - 18.02.24 (C24506 - 01-01-05 Contra</t>
  </si>
  <si>
    <t>C24506 - 01-01-05 Contract Administrator</t>
  </si>
  <si>
    <t>20/C24506/01-01-05/LB/J</t>
  </si>
  <si>
    <t>PayID 9710670 - 18.02.24 (C24506 - 01-02-03 Site M</t>
  </si>
  <si>
    <t>C24506 - 01-02-03 Site Manager</t>
  </si>
  <si>
    <t>20/C24506/01-02-03/LB/J</t>
  </si>
  <si>
    <t>PayID 9710670 - 18.02.24 (C24507 - 01-15-99 Yard E</t>
  </si>
  <si>
    <t>C24507 - 01-15-99 Yard Establishment Items</t>
  </si>
  <si>
    <t>20/C24507/01-15-99/LB/J</t>
  </si>
  <si>
    <t>PayID 9710670 - 18.02.24 (C24511 - 01-01-13 Site O</t>
  </si>
  <si>
    <t>C24511 - 01-01-13 Site Operations Manager</t>
  </si>
  <si>
    <t>20/C24511/01-01-13/LB/J</t>
  </si>
  <si>
    <t>PayID 9710670 - 18.02.24 (C24511 - 01-02-03 Site M</t>
  </si>
  <si>
    <t>C24511 - 01-02-03 Site Manager</t>
  </si>
  <si>
    <t>20/C24511/01-02-03/LB/J</t>
  </si>
  <si>
    <t>PayID 9710670 - 18.02.24 (C24512 - 01-01-02 Projec</t>
  </si>
  <si>
    <t>C24512 - 01-01-02 Project Manager</t>
  </si>
  <si>
    <t>20/C24512/01-01-02/LB/J</t>
  </si>
  <si>
    <t>PayID 9710670 - 18.02.24 (C24512 - 01-01-05 Contra</t>
  </si>
  <si>
    <t>C24512 - 01-01-05 Contract Administrator</t>
  </si>
  <si>
    <t>20/C24512/01-01-05/LB/J</t>
  </si>
  <si>
    <t>PayID 9710670 - 18.02.24 (C24512 - 01-02-03 Site M</t>
  </si>
  <si>
    <t>C24512 - 01-02-03 Site Manager</t>
  </si>
  <si>
    <t>20/C24512/01-02-03/LB/J</t>
  </si>
  <si>
    <t>PayID 9710670 - 18.02.24 (C24508 - 511 Officeworks</t>
  </si>
  <si>
    <t>C24508 - 511 Officeworks Preconstruction</t>
  </si>
  <si>
    <t>20/C24508/511/LB/J</t>
  </si>
  <si>
    <t>PayID 9710670 - 18.02.24 (Estimating - VIC - PBV)</t>
  </si>
  <si>
    <t>PayID 9710670 - 18.02.24 (Admin - VIC - PBV)</t>
  </si>
  <si>
    <t>Admin - VIC - PBV</t>
  </si>
  <si>
    <t>209504</t>
  </si>
  <si>
    <t>PayID 9710670 - 18.02.24 (PRIME BUILD VIC)</t>
  </si>
  <si>
    <t>PRIME BUILD VIC</t>
  </si>
  <si>
    <t>PayID 9710670 - 18.02.24 () Payroll Clearing</t>
  </si>
  <si>
    <t>PayID 9710670 - 18.02.24 () PAYG Withholding Tax</t>
  </si>
  <si>
    <t>PayID 9710670 - 18.02.24 (Executive - VIC - PBV) Executive Salaries</t>
  </si>
  <si>
    <t>PayID 9710670 - 18.02.24 (PRIME BUILD HOLDINGS PTY Operations Salaries</t>
  </si>
  <si>
    <t>PayID 9710670 - 18.02.24 (C23514 - 01-01-02 Projec Operations Salaries</t>
  </si>
  <si>
    <t>PayID 9710670 - 18.02.24 (C23514 - 01-01-05 Contra Operations Salaries</t>
  </si>
  <si>
    <t>PayID 9710670 - 18.02.24 (C23514 - 01-02-03 Site M Operations Salaries</t>
  </si>
  <si>
    <t>PayID 9710670 - 18.02.24 (C24501 - 01-01-05 Contra Operations Salaries</t>
  </si>
  <si>
    <t>PayID 9710670 - 18.02.24 (C24503 - 01-01-02 Projec Operations Salaries</t>
  </si>
  <si>
    <t>PayID 9710670 - 18.02.24 (C24503 - 01-01-05 Contra Operations Salaries</t>
  </si>
  <si>
    <t>PayID 9710670 - 18.02.24 (C24503 - 01-15-99 Yard E Operations Salaries</t>
  </si>
  <si>
    <t>PayID 9710670 - 18.02.24 (C24504 - 01-01-02 Projec Operations Salaries</t>
  </si>
  <si>
    <t>PayID 9710670 - 18.02.24 (C24504 - 01-01-05 Contra Operations Salaries</t>
  </si>
  <si>
    <t>PayID 9710670 - 18.02.24 (C24504 - 01-01-13 Site O Operations Salaries</t>
  </si>
  <si>
    <t>PayID 9710670 - 18.02.24 (C24504 - 01-02-03 Site M Operations Salaries</t>
  </si>
  <si>
    <t>PayID 9710670 - 18.02.24 (D24001 - 01-02-09 Whseq  Operations Salaries</t>
  </si>
  <si>
    <t>PayID 9710670 - 18.02.24 (D24501 - 01-02-09 Whseq  Operations Salaries</t>
  </si>
  <si>
    <t>PayID 9710670 - 18.02.24 (C24505 - 01-02-03 Site M Operations Salaries</t>
  </si>
  <si>
    <t>PayID 9710670 - 18.02.24 (C24506 - 01-01-02 Projec Operations Salaries</t>
  </si>
  <si>
    <t>PayID 9710670 - 18.02.24 (C24506 - 01-01-05 Contra Operations Salaries</t>
  </si>
  <si>
    <t>PayID 9710670 - 18.02.24 (C24506 - 01-02-03 Site M Operations Salaries</t>
  </si>
  <si>
    <t>PayID 9710670 - 18.02.24 (C24507 - 01-15-99 Yard E Operations Salaries</t>
  </si>
  <si>
    <t>PayID 9710670 - 18.02.24 (C24511 - 01-01-13 Site O Operations Salaries</t>
  </si>
  <si>
    <t>PayID 9710670 - 18.02.24 (C24511 - 01-02-03 Site M Operations Salaries</t>
  </si>
  <si>
    <t>PayID 9710670 - 18.02.24 (C24512 - 01-01-02 Projec Operations Salaries</t>
  </si>
  <si>
    <t>PayID 9710670 - 18.02.24 (C24512 - 01-01-05 Contra Operations Salaries</t>
  </si>
  <si>
    <t>PayID 9710670 - 18.02.24 (C24512 - 01-02-03 Site M Operations Salaries</t>
  </si>
  <si>
    <t>PayID 9710670 - 18.02.24 (C24508 - 511 Officeworks Operations Salaries</t>
  </si>
  <si>
    <t>PayID 9710670 - 18.02.24 (Estimating - VIC - PBV) Estimating Salaries</t>
  </si>
  <si>
    <t>PayID 9710670 - 18.02.24 (Admin - VIC - PBV) Salaries - Admin</t>
  </si>
  <si>
    <t>PayID 9710670 - 18.02.24 () Superannuation Clearing</t>
  </si>
  <si>
    <t>PayID 9710670 - 18.02.24 (PRIME BUILD VIC) Operations Salaries</t>
  </si>
  <si>
    <t>C23514</t>
  </si>
  <si>
    <t>C24501</t>
  </si>
  <si>
    <t>C24504</t>
  </si>
  <si>
    <t>01-02-09</t>
  </si>
  <si>
    <t>D24001</t>
  </si>
  <si>
    <t>D24501</t>
  </si>
  <si>
    <t>C24506</t>
  </si>
  <si>
    <t>C24507</t>
  </si>
  <si>
    <t>C24511</t>
  </si>
  <si>
    <t>C24512</t>
  </si>
  <si>
    <t>511</t>
  </si>
  <si>
    <t>C24508</t>
  </si>
  <si>
    <t>203205</t>
  </si>
  <si>
    <t>VIC FN PAY 21/02/24</t>
  </si>
  <si>
    <t>203201</t>
  </si>
  <si>
    <t>209508</t>
  </si>
  <si>
    <t>203204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</si>
</sst>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1" x14ac:knownFonts="1"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</font>
    <font>
      <b/>
      <u/>
      <sz val="11"/>
      <color rgb="FF000000"/>
      <name val="Calibri"/>
      <family val="2"/>
    </font>
    <font>
      <sz val="11"/>
      <color indexed="8"/>
      <name val="Calibri"/>
      <family val="2"/>
      <scheme val="minor"/>
    </font>
    <font>
      <b/>
      <sz val="20"/>
      <color indexed="8"/>
      <name val="Calibri"/>
      <family val="2"/>
    </font>
    <font>
      <i/>
      <sz val="10"/>
      <color indexed="8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002856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indexed="9"/>
      </patternFill>
    </fill>
    <fill>
      <patternFill patternType="solid">
        <fgColor theme="5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</borders>
  <cellStyleXfs count="11">
    <xf numFmtId="0" fontId="0" fillId="0" borderId="0" applyBorder="0"/>
    <xf numFmtId="43" fontId="4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4">
    <xf numFmtId="0" fontId="0" fillId="0" borderId="0" xfId="0"/>
    <xf numFmtId="0" fontId="5" fillId="2" borderId="1" xfId="0" applyFont="1" applyFill="1" applyBorder="1" applyAlignment="1">
      <alignment wrapText="1"/>
    </xf>
    <xf numFmtId="0" fontId="5" fillId="2" borderId="1" xfId="0" applyFont="1" applyFill="1" applyBorder="1" applyAlignment="1">
      <alignment horizontal="left" wrapText="1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/>
    <xf numFmtId="43" fontId="0" fillId="3" borderId="0" xfId="1" applyFont="1" applyFill="1" applyAlignment="1">
      <alignment wrapText="1"/>
    </xf>
    <xf numFmtId="0" fontId="0" fillId="4" borderId="2" xfId="0" applyFill="1" applyBorder="1"/>
    <xf numFmtId="0" fontId="0" fillId="0" borderId="0" xfId="0" applyAlignment="1">
      <alignment horizontal="center"/>
    </xf>
    <xf numFmtId="0" fontId="6" fillId="5" borderId="0" xfId="0" applyFont="1" applyFill="1"/>
    <xf numFmtId="2" fontId="5" fillId="2" borderId="1" xfId="0" applyNumberFormat="1" applyFont="1" applyFill="1" applyBorder="1" applyAlignment="1">
      <alignment wrapText="1"/>
    </xf>
    <xf numFmtId="14" fontId="0" fillId="0" borderId="0" xfId="0" applyNumberFormat="1"/>
    <xf numFmtId="2" fontId="0" fillId="3" borderId="0" xfId="1" applyNumberFormat="1" applyFont="1" applyFill="1" applyAlignment="1">
      <alignment wrapText="1"/>
    </xf>
    <xf numFmtId="2" fontId="0" fillId="3" borderId="0" xfId="0" applyNumberFormat="1" applyFill="1"/>
    <xf numFmtId="0" fontId="7" fillId="0" borderId="0" xfId="0" applyFont="1"/>
    <xf numFmtId="0" fontId="3" fillId="0" borderId="0" xfId="0" applyFont="1"/>
    <xf numFmtId="0" fontId="0" fillId="6" borderId="0" xfId="0" applyFill="1"/>
    <xf numFmtId="0" fontId="0" fillId="0" borderId="0" xfId="0" quotePrefix="1"/>
    <xf numFmtId="0" fontId="8" fillId="0" borderId="0" xfId="5"/>
    <xf numFmtId="0" fontId="10" fillId="7" borderId="0" xfId="5" applyFont="1" applyFill="1" applyAlignment="1">
      <alignment wrapText="1"/>
    </xf>
    <xf numFmtId="14" fontId="10" fillId="7" borderId="0" xfId="5" applyNumberFormat="1" applyFont="1" applyFill="1" applyAlignment="1">
      <alignment wrapText="1"/>
    </xf>
    <xf numFmtId="0" fontId="5" fillId="2" borderId="1" xfId="5" applyFont="1" applyFill="1" applyBorder="1" applyAlignment="1">
      <alignment wrapText="1"/>
    </xf>
    <xf numFmtId="0" fontId="8" fillId="8" borderId="0" xfId="5" applyFill="1" applyAlignment="1">
      <alignment horizontal="center"/>
    </xf>
    <xf numFmtId="0" fontId="8" fillId="8" borderId="0" xfId="5" applyFill="1" applyAlignment="1">
      <alignment horizontal="left"/>
    </xf>
    <xf numFmtId="0" fontId="8" fillId="8" borderId="0" xfId="5" applyFill="1"/>
    <xf numFmtId="2" fontId="0" fillId="8" borderId="0" xfId="6" applyNumberFormat="1" applyFont="1" applyFill="1" applyAlignment="1">
      <alignment wrapText="1"/>
    </xf>
    <xf numFmtId="43" fontId="0" fillId="8" borderId="0" xfId="6" applyFont="1" applyFill="1" applyAlignment="1">
      <alignment wrapText="1"/>
    </xf>
    <xf numFmtId="0" fontId="5" fillId="8" borderId="1" xfId="5" applyFont="1" applyFill="1" applyBorder="1" applyAlignment="1">
      <alignment wrapText="1"/>
    </xf>
    <xf numFmtId="0" fontId="8" fillId="8" borderId="0" xfId="5" quotePrefix="1" applyFill="1"/>
    <xf numFmtId="49" fontId="0" fillId="0" borderId="0" xfId="0" applyNumberFormat="1"/>
    <xf numFmtId="49" fontId="0" fillId="6" borderId="0" xfId="0" applyNumberFormat="1" applyFill="1"/>
    <xf numFmtId="49" fontId="5" fillId="2" borderId="1" xfId="0" applyNumberFormat="1" applyFont="1" applyFill="1" applyBorder="1" applyAlignment="1">
      <alignment wrapText="1"/>
    </xf>
    <xf numFmtId="49" fontId="0" fillId="3" borderId="0" xfId="0" applyNumberFormat="1" applyFill="1"/>
    <xf numFmtId="0" fontId="9" fillId="7" borderId="0" xfId="5" applyFont="1" applyFill="1"/>
  </cellXfs>
  <cellStyles count="11">
    <cellStyle name="Comma" xfId="1" builtinId="3"/>
    <cellStyle name="Comma 2" xfId="3" xr:uid="{B177548E-D599-4982-B514-3B46F8FFCADD}"/>
    <cellStyle name="Comma 2 2" xfId="9" xr:uid="{7503B784-8FA9-452D-8DAB-0FF999284621}"/>
    <cellStyle name="Comma 3" xfId="6" xr:uid="{F1D466A5-41E0-4EF6-8369-8AAFC8F62FFD}"/>
    <cellStyle name="Comma 4" xfId="7" xr:uid="{D1EA40A8-C9DE-4BCF-800D-726E1D209591}"/>
    <cellStyle name="Normal" xfId="0" builtinId="0"/>
    <cellStyle name="Normal 2" xfId="2" xr:uid="{98482339-2315-4EE0-BB24-AF93F18FDD8B}"/>
    <cellStyle name="Normal 2 2" xfId="8" xr:uid="{03741590-CB81-4371-B277-201364B0C246}"/>
    <cellStyle name="Normal 3" xfId="5" xr:uid="{67A79F33-4719-43C8-8BB0-543FAD205242}"/>
    <cellStyle name="Percent 2" xfId="4" xr:uid="{6F161496-0588-45B7-8399-2C46A2470D10}"/>
    <cellStyle name="Percent 2 2" xfId="10" xr:uid="{C5616BB6-EAFA-4488-BFEC-D674DA9CA813}"/>
  </cellStyles>
  <dxfs count="0"/>
  <tableStyles count="0" defaultTableStyle="TableStyleMedium2" defaultPivotStyle="PivotStyleLight16"/>
  <colors>
    <mruColors>
      <color rgb="FF66FF66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365760</xdr:colOff>
          <xdr:row>9</xdr:row>
          <xdr:rowOff>53340</xdr:rowOff>
        </xdr:from>
        <xdr:to>
          <xdr:col>0</xdr:col>
          <xdr:colOff>1363980</xdr:colOff>
          <xdr:row>10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198120</xdr:colOff>
          <xdr:row>0</xdr:row>
          <xdr:rowOff>114300</xdr:rowOff>
        </xdr:from>
        <xdr:to>
          <xdr:col>0</xdr:col>
          <xdr:colOff>1127760</xdr:colOff>
          <xdr:row>0</xdr:row>
          <xdr:rowOff>335280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C3444-F892-476D-A11E-4203AF4DBDC7}">
  <sheetPr codeName="Sheet1">
    <tabColor rgb="FFFFFFCC"/>
  </sheetPr>
  <dimension ref="A1:B7"/>
  <sheetViews>
    <sheetView tabSelected="1" workbookViewId="0">
      <selection activeCell="L19" sqref="L19"/>
    </sheetView>
  </sheetViews>
  <sheetFormatPr defaultRowHeight="14.4" x14ac:dyDescent="0.3"/>
  <cols>
    <col min="1" max="1" width="24.6640625" customWidth="1"/>
    <col min="2" max="2" width="10.6640625" bestFit="1" customWidth="1"/>
  </cols>
  <sheetData>
    <row r="1" spans="1:2" s="9" customFormat="1" x14ac:dyDescent="0.3">
      <c r="A1" s="9" t="s">
        <v>0</v>
      </c>
    </row>
    <row r="2" spans="1:2" s="9" customFormat="1" x14ac:dyDescent="0.3">
      <c r="A2" s="9" t="s">
        <v>1</v>
      </c>
    </row>
    <row r="4" spans="1:2" x14ac:dyDescent="0.3">
      <c r="A4" t="s">
        <v>2</v>
      </c>
      <c r="B4" s="7" t="s">
        <v>53</v>
      </c>
    </row>
    <row r="5" spans="1:2" x14ac:dyDescent="0.3">
      <c r="A5" t="s">
        <v>4</v>
      </c>
      <c r="B5" s="7" t="s">
        <v>5</v>
      </c>
    </row>
    <row r="6" spans="1:2" x14ac:dyDescent="0.3">
      <c r="A6" t="s">
        <v>6</v>
      </c>
      <c r="B6" s="8" cm="1">
        <f t="array" ref="B6">_xlfn.XLOOKUP(Input!$B$4,Lookups!B4:$B$9,Lookups!$C$4:$C$9,)</f>
        <v>20</v>
      </c>
    </row>
    <row r="7" spans="1:2" x14ac:dyDescent="0.3">
      <c r="A7" t="s">
        <v>7</v>
      </c>
      <c r="B7" s="11">
        <v>45343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tnGen">
                <anchor>
                  <from>
                    <xdr:col>0</xdr:col>
                    <xdr:colOff>365760</xdr:colOff>
                    <xdr:row>9</xdr:row>
                    <xdr:rowOff>53340</xdr:rowOff>
                  </from>
                  <to>
                    <xdr:col>0</xdr:col>
                    <xdr:colOff>1363980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CC64781-C795-4374-A3A9-645437C803FB}">
          <x14:formula1>
            <xm:f>Lookups!$B$4:$B$9</xm:f>
          </x14:formula1>
          <xm:sqref>B4</xm:sqref>
        </x14:dataValidation>
        <x14:dataValidation type="list" allowBlank="1" showInputMessage="1" showErrorMessage="1" xr:uid="{134B0C86-E9BE-4498-8678-7616A85961FD}">
          <x14:formula1>
            <xm:f>Lookups!$A$4:$A$5</xm:f>
          </x14:formula1>
          <xm:sqref>B5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8B67C-DA3F-4046-9410-AA75E4411403}">
  <sheetPr codeName="Sheet2">
    <tabColor rgb="FF92D050"/>
  </sheetPr>
  <dimension ref="A1:X500"/>
  <sheetViews>
    <sheetView workbookViewId="0">
      <selection activeCell="B2" sqref="B2:B500"/>
    </sheetView>
  </sheetViews>
  <sheetFormatPr defaultRowHeight="14.4" x14ac:dyDescent="0.3"/>
  <cols>
    <col min="1" max="1" width="12.6640625" style="5" customWidth="1"/>
    <col min="2" max="2" width="72.109375" style="4" customWidth="1"/>
    <col min="3" max="3" width="16.33203125" style="5" customWidth="1"/>
    <col min="4" max="4" width="11" style="5" customWidth="1"/>
    <col min="5" max="5" width="14.109375" style="32" customWidth="1"/>
    <col min="6" max="6" width="14.109375" style="5" customWidth="1"/>
    <col min="7" max="7" width="8.33203125" style="5" customWidth="1"/>
    <col min="8" max="8" width="14.109375" style="5" customWidth="1"/>
    <col min="9" max="10" width="9.109375" style="5"/>
    <col min="11" max="11" width="10.33203125" style="13" bestFit="1" customWidth="1"/>
    <col min="12" max="17" width="9.109375" style="5"/>
    <col min="18" max="18" width="22.33203125" style="5" bestFit="1" customWidth="1"/>
    <col min="19" max="22" width="14.109375" style="5" customWidth="1"/>
    <col min="23" max="23" width="67.109375" style="5" bestFit="1" customWidth="1"/>
    <col min="24" max="24" width="8.88671875" style="29"/>
  </cols>
  <sheetData>
    <row r="1" spans="1:24" ht="43.2" x14ac:dyDescent="0.3">
      <c r="A1" s="1" t="s">
        <v>8</v>
      </c>
      <c r="B1" s="2" t="s">
        <v>9</v>
      </c>
      <c r="C1" s="1" t="s">
        <v>10</v>
      </c>
      <c r="D1" s="1" t="s">
        <v>11</v>
      </c>
      <c r="E1" s="31" t="s">
        <v>12</v>
      </c>
      <c r="F1" s="1" t="s">
        <v>13</v>
      </c>
      <c r="G1" s="1" t="s">
        <v>14</v>
      </c>
      <c r="H1" s="1" t="s">
        <v>15</v>
      </c>
      <c r="I1" s="1" t="s">
        <v>16</v>
      </c>
      <c r="J1" s="1" t="s">
        <v>17</v>
      </c>
      <c r="K1" s="10" t="s">
        <v>18</v>
      </c>
      <c r="L1" s="1" t="s">
        <v>19</v>
      </c>
      <c r="M1" s="1" t="s">
        <v>20</v>
      </c>
      <c r="N1" s="1" t="s">
        <v>21</v>
      </c>
      <c r="O1" s="1" t="s">
        <v>22</v>
      </c>
      <c r="P1" s="1" t="s">
        <v>23</v>
      </c>
      <c r="Q1" s="1" t="s">
        <v>24</v>
      </c>
      <c r="R1" s="1" t="s">
        <v>25</v>
      </c>
      <c r="S1" s="1" t="s">
        <v>26</v>
      </c>
      <c r="T1" s="1" t="s">
        <v>27</v>
      </c>
      <c r="U1" s="1" t="s">
        <v>28</v>
      </c>
      <c r="V1" s="1" t="s">
        <v>29</v>
      </c>
      <c r="W1" s="1" t="s">
        <v>30</v>
      </c>
    </row>
    <row r="2" spans="1:24" x14ac:dyDescent="0.3">
      <c r="A2" s="3">
        <v>1</v>
      </c>
      <c r="B2" s="4" t="s">
        <v>211</v>
      </c>
      <c r="C2" s="3">
        <f>IF(AND(ISNUMBER(MATCH('Journal - Main'!$E2,Lookups!$K$5:$K$16,0))=FALSE,OR(MID('Journal - Main'!N2,4,1)="C",MID('Journal - Main'!N2,4,1)="D")),LEFT('Journal - Main'!N2,2),Input!$B$6)</f>
        <v>20</v>
      </c>
      <c r="E2" s="32" t="s">
        <v>102</v>
      </c>
      <c r="H2" s="5" t="str">
        <f>IF(D2="",CONCATENATE(C2,'Journal - Main'!D2),"")</f>
        <v>203205</v>
      </c>
      <c r="K2" s="12">
        <f>ROUND(_xlfn.NUMBERVALUE('Journal - Main'!G2),2)</f>
        <v>-70816.009999999995</v>
      </c>
      <c r="L2" s="6"/>
      <c r="M2" s="6"/>
      <c r="N2" s="6"/>
      <c r="O2" s="6"/>
      <c r="P2" s="6"/>
      <c r="Q2" s="6"/>
      <c r="R2" s="5" t="str">
        <f>CONCATENATE(Input!$B$4," ",Input!$B$5," PAY ",TEXT(Input!$B$7,"DD/MM/YY"))</f>
        <v>VIC FN PAY 21/02/24</v>
      </c>
      <c r="S2" s="5" t="str">
        <f>'Journal - Main'!B2</f>
        <v>9710670</v>
      </c>
      <c r="W2" s="5" t="str">
        <f>B2</f>
        <v>PayID 9710670 - 18.02.24 () Payroll Clearing</v>
      </c>
    </row>
    <row r="3" spans="1:24" x14ac:dyDescent="0.3">
      <c r="A3" s="3">
        <f>+A2+1</f>
        <v>2</v>
      </c>
      <c r="B3" s="4" t="s">
        <v>212</v>
      </c>
      <c r="C3" s="3">
        <f>IF(AND(ISNUMBER(MATCH('Journal - Main'!$E3,Lookups!$K$5:$K$16,0))=FALSE,OR(MID('Journal - Main'!N3,4,1)="C",MID('Journal - Main'!N3,4,1)="D")),LEFT('Journal - Main'!N3,2),Input!$B$6)</f>
        <v>20</v>
      </c>
      <c r="E3" s="32" t="s">
        <v>102</v>
      </c>
      <c r="H3" s="5" t="str">
        <f>IF(D3="",CONCATENATE(C3,'Journal - Main'!D3),"")</f>
        <v>203201</v>
      </c>
      <c r="K3" s="12">
        <f>ROUND(_xlfn.NUMBERVALUE('Journal - Main'!G3),2)</f>
        <v>-28802</v>
      </c>
      <c r="L3" s="6"/>
      <c r="M3" s="6"/>
      <c r="N3" s="6"/>
      <c r="O3" s="6"/>
      <c r="P3" s="6"/>
      <c r="Q3" s="6"/>
      <c r="R3" s="5" t="str">
        <f>CONCATENATE(Input!$B$4," ",Input!$B$5," PAY ",TEXT(Input!$B$7,"DD/MM/YY"))</f>
        <v>VIC FN PAY 21/02/24</v>
      </c>
      <c r="S3" s="5" t="str">
        <f>'Journal - Main'!B3</f>
        <v>9710670</v>
      </c>
      <c r="W3" s="5" t="str">
        <f t="shared" ref="W3" si="0">B3</f>
        <v>PayID 9710670 - 18.02.24 () PAYG Withholding Tax</v>
      </c>
    </row>
    <row r="4" spans="1:24" x14ac:dyDescent="0.3">
      <c r="A4" s="3">
        <f t="shared" ref="A4:A67" si="1">+A3+1</f>
        <v>3</v>
      </c>
      <c r="B4" s="4" t="s">
        <v>213</v>
      </c>
      <c r="C4" s="3">
        <f>IF(AND(ISNUMBER(MATCH('Journal - Main'!$E4,Lookups!$K$5:$K$16,0))=FALSE,OR(MID('Journal - Main'!N4,4,1)="C",MID('Journal - Main'!N4,4,1)="D")),LEFT('Journal - Main'!N4,2),Input!$B$6)</f>
        <v>20</v>
      </c>
      <c r="E4" s="32" t="s">
        <v>102</v>
      </c>
      <c r="H4" s="5" t="str">
        <f>IF(D4="",CONCATENATE(C4,'Journal - Main'!D4),"")</f>
        <v>209510</v>
      </c>
      <c r="K4" s="12">
        <f>ROUND(_xlfn.NUMBERVALUE('Journal - Main'!G4),2)</f>
        <v>1143.45</v>
      </c>
      <c r="L4" s="6"/>
      <c r="M4" s="6"/>
      <c r="N4" s="6"/>
      <c r="O4" s="6"/>
      <c r="P4" s="6"/>
      <c r="Q4" s="6"/>
      <c r="R4" s="5" t="str">
        <f>CONCATENATE(Input!$B$4," ",Input!$B$5," PAY ",TEXT(Input!$B$7,"DD/MM/YY"))</f>
        <v>VIC FN PAY 21/02/24</v>
      </c>
      <c r="S4" s="5" t="str">
        <f>'Journal - Main'!B4</f>
        <v>9710670</v>
      </c>
      <c r="W4" s="5" t="str">
        <f t="shared" ref="W4:W67" si="2">B4</f>
        <v>PayID 9710670 - 18.02.24 (Executive - VIC - PBV) Executive Salaries</v>
      </c>
      <c r="X4" s="29" t="s">
        <v>135</v>
      </c>
    </row>
    <row r="5" spans="1:24" x14ac:dyDescent="0.3">
      <c r="A5" s="3">
        <f t="shared" si="1"/>
        <v>4</v>
      </c>
      <c r="B5" s="4" t="s">
        <v>214</v>
      </c>
      <c r="C5" s="3">
        <f>IF(AND(ISNUMBER(MATCH('Journal - Main'!$E5,Lookups!$K$5:$K$16,0))=FALSE,OR(MID('Journal - Main'!N5,4,1)="C",MID('Journal - Main'!N5,4,1)="D")),LEFT('Journal - Main'!N5,2),Input!$B$6)</f>
        <v>20</v>
      </c>
      <c r="E5" s="32" t="s">
        <v>102</v>
      </c>
      <c r="H5" s="5" t="str">
        <f>IF(D5="",CONCATENATE(C5,'Journal - Main'!D5),"")</f>
        <v>209508</v>
      </c>
      <c r="K5" s="12">
        <f>ROUND(_xlfn.NUMBERVALUE('Journal - Main'!G5),2)</f>
        <v>1303.52</v>
      </c>
      <c r="L5" s="6"/>
      <c r="M5" s="6"/>
      <c r="N5" s="6"/>
      <c r="O5" s="6"/>
      <c r="P5" s="6"/>
      <c r="Q5" s="6"/>
      <c r="R5" s="5" t="str">
        <f>CONCATENATE(Input!$B$4," ",Input!$B$5," PAY ",TEXT(Input!$B$7,"DD/MM/YY"))</f>
        <v>VIC FN PAY 21/02/24</v>
      </c>
      <c r="S5" s="5" t="str">
        <f>'Journal - Main'!B5</f>
        <v>9710670</v>
      </c>
      <c r="W5" s="5" t="str">
        <f t="shared" si="2"/>
        <v>PayID 9710670 - 18.02.24 (PRIME BUILD HOLDINGS PTY Operations Salaries</v>
      </c>
    </row>
    <row r="6" spans="1:24" x14ac:dyDescent="0.3">
      <c r="A6" s="3">
        <f t="shared" si="1"/>
        <v>5</v>
      </c>
      <c r="B6" s="4" t="s">
        <v>215</v>
      </c>
      <c r="C6" s="3">
        <v>20</v>
      </c>
      <c r="D6" s="5" t="s">
        <v>243</v>
      </c>
      <c r="E6" s="32" t="s">
        <v>116</v>
      </c>
      <c r="F6" s="5" t="s">
        <v>114</v>
      </c>
      <c r="H6" s="5" t="str">
        <f>IF(D6="",CONCATENATE(C6,'Journal - Main'!D6),"")</f>
        <v/>
      </c>
      <c r="K6" s="12">
        <f>ROUND(_xlfn.NUMBERVALUE('Journal - Main'!G6),2)</f>
        <v>279.2</v>
      </c>
      <c r="L6" s="6"/>
      <c r="M6" s="6"/>
      <c r="N6" s="6"/>
      <c r="O6" s="6"/>
      <c r="P6" s="6"/>
      <c r="Q6" s="6"/>
      <c r="R6" s="5" t="str">
        <f>CONCATENATE(Input!$B$4," ",Input!$B$5," PAY ",TEXT(Input!$B$7,"DD/MM/YY"))</f>
        <v>VIC FN PAY 21/02/24</v>
      </c>
      <c r="S6" s="5" t="str">
        <f>'Journal - Main'!B6</f>
        <v>9710670</v>
      </c>
      <c r="W6" s="5" t="str">
        <f t="shared" si="2"/>
        <v>PayID 9710670 - 18.02.24 (C23514 - 01-01-02 Projec Operations Salaries</v>
      </c>
      <c r="X6" s="29" t="s">
        <v>139</v>
      </c>
    </row>
    <row r="7" spans="1:24" x14ac:dyDescent="0.3">
      <c r="A7" s="3">
        <f t="shared" si="1"/>
        <v>6</v>
      </c>
      <c r="B7" s="4" t="s">
        <v>216</v>
      </c>
      <c r="C7" s="3">
        <v>20</v>
      </c>
      <c r="D7" s="5" t="s">
        <v>243</v>
      </c>
      <c r="E7" s="32" t="s">
        <v>115</v>
      </c>
      <c r="F7" s="5" t="s">
        <v>114</v>
      </c>
      <c r="H7" s="5" t="str">
        <f>IF(D7="",CONCATENATE(C7,'Journal - Main'!D7),"")</f>
        <v/>
      </c>
      <c r="K7" s="12">
        <f>ROUND(_xlfn.NUMBERVALUE('Journal - Main'!G7),2)</f>
        <v>253.88</v>
      </c>
      <c r="L7" s="6"/>
      <c r="M7" s="6"/>
      <c r="N7" s="6"/>
      <c r="O7" s="6"/>
      <c r="P7" s="6"/>
      <c r="Q7" s="6"/>
      <c r="R7" s="5" t="str">
        <f>CONCATENATE(Input!$B$4," ",Input!$B$5," PAY ",TEXT(Input!$B$7,"DD/MM/YY"))</f>
        <v>VIC FN PAY 21/02/24</v>
      </c>
      <c r="S7" s="5" t="str">
        <f>'Journal - Main'!B7</f>
        <v>9710670</v>
      </c>
      <c r="W7" s="5" t="str">
        <f t="shared" si="2"/>
        <v>PayID 9710670 - 18.02.24 (C23514 - 01-01-05 Contra Operations Salaries</v>
      </c>
      <c r="X7" s="29" t="s">
        <v>142</v>
      </c>
    </row>
    <row r="8" spans="1:24" x14ac:dyDescent="0.3">
      <c r="A8" s="3">
        <f t="shared" si="1"/>
        <v>7</v>
      </c>
      <c r="B8" s="4" t="s">
        <v>217</v>
      </c>
      <c r="C8" s="3">
        <v>20</v>
      </c>
      <c r="D8" s="5" t="s">
        <v>243</v>
      </c>
      <c r="E8" s="32" t="s">
        <v>121</v>
      </c>
      <c r="F8" s="5" t="s">
        <v>114</v>
      </c>
      <c r="H8" s="5" t="str">
        <f>IF(D8="",CONCATENATE(C8,'Journal - Main'!D8),"")</f>
        <v/>
      </c>
      <c r="K8" s="12">
        <f>ROUND(_xlfn.NUMBERVALUE('Journal - Main'!G8),2)</f>
        <v>569.9</v>
      </c>
      <c r="L8" s="6"/>
      <c r="M8" s="6"/>
      <c r="N8" s="6"/>
      <c r="O8" s="6"/>
      <c r="P8" s="6"/>
      <c r="Q8" s="6"/>
      <c r="R8" s="5" t="str">
        <f>CONCATENATE(Input!$B$4," ",Input!$B$5," PAY ",TEXT(Input!$B$7,"DD/MM/YY"))</f>
        <v>VIC FN PAY 21/02/24</v>
      </c>
      <c r="S8" s="5" t="str">
        <f>'Journal - Main'!B8</f>
        <v>9710670</v>
      </c>
      <c r="W8" s="5" t="str">
        <f t="shared" si="2"/>
        <v>PayID 9710670 - 18.02.24 (C23514 - 01-02-03 Site M Operations Salaries</v>
      </c>
      <c r="X8" s="29" t="s">
        <v>145</v>
      </c>
    </row>
    <row r="9" spans="1:24" x14ac:dyDescent="0.3">
      <c r="A9" s="3">
        <f t="shared" si="1"/>
        <v>8</v>
      </c>
      <c r="B9" s="4" t="s">
        <v>218</v>
      </c>
      <c r="C9" s="3">
        <v>20</v>
      </c>
      <c r="D9" s="5" t="s">
        <v>244</v>
      </c>
      <c r="E9" s="32" t="s">
        <v>115</v>
      </c>
      <c r="F9" s="5" t="s">
        <v>114</v>
      </c>
      <c r="H9" s="5" t="str">
        <f>IF(D9="",CONCATENATE(C9,'Journal - Main'!D9),"")</f>
        <v/>
      </c>
      <c r="K9" s="12">
        <f>ROUND(_xlfn.NUMBERVALUE('Journal - Main'!G9),2)</f>
        <v>52.88</v>
      </c>
      <c r="L9" s="6"/>
      <c r="M9" s="6"/>
      <c r="N9" s="6"/>
      <c r="O9" s="6"/>
      <c r="P9" s="6"/>
      <c r="Q9" s="6"/>
      <c r="R9" s="5" t="str">
        <f>CONCATENATE(Input!$B$4," ",Input!$B$5," PAY ",TEXT(Input!$B$7,"DD/MM/YY"))</f>
        <v>VIC FN PAY 21/02/24</v>
      </c>
      <c r="S9" s="5" t="str">
        <f>'Journal - Main'!B9</f>
        <v>9710670</v>
      </c>
      <c r="W9" s="5" t="str">
        <f t="shared" si="2"/>
        <v>PayID 9710670 - 18.02.24 (C24501 - 01-01-05 Contra Operations Salaries</v>
      </c>
      <c r="X9" s="29" t="s">
        <v>148</v>
      </c>
    </row>
    <row r="10" spans="1:24" x14ac:dyDescent="0.3">
      <c r="A10" s="3">
        <f t="shared" si="1"/>
        <v>9</v>
      </c>
      <c r="B10" s="4" t="s">
        <v>219</v>
      </c>
      <c r="C10" s="3">
        <v>20</v>
      </c>
      <c r="D10" s="5" t="s">
        <v>125</v>
      </c>
      <c r="E10" s="32" t="s">
        <v>116</v>
      </c>
      <c r="F10" s="5" t="s">
        <v>114</v>
      </c>
      <c r="H10" s="5" t="str">
        <f>IF(D10="",CONCATENATE(C10,'Journal - Main'!D10),"")</f>
        <v/>
      </c>
      <c r="K10" s="12">
        <f>ROUND(_xlfn.NUMBERVALUE('Journal - Main'!G10),2)</f>
        <v>224.24</v>
      </c>
      <c r="L10" s="6"/>
      <c r="M10" s="6"/>
      <c r="N10" s="6"/>
      <c r="O10" s="6"/>
      <c r="P10" s="6"/>
      <c r="Q10" s="6"/>
      <c r="R10" s="5" t="str">
        <f>CONCATENATE(Input!$B$4," ",Input!$B$5," PAY ",TEXT(Input!$B$7,"DD/MM/YY"))</f>
        <v>VIC FN PAY 21/02/24</v>
      </c>
      <c r="S10" s="5" t="str">
        <f>'Journal - Main'!B10</f>
        <v>9710670</v>
      </c>
      <c r="W10" s="5" t="str">
        <f t="shared" si="2"/>
        <v>PayID 9710670 - 18.02.24 (C24503 - 01-01-02 Projec Operations Salaries</v>
      </c>
      <c r="X10" s="29" t="s">
        <v>127</v>
      </c>
    </row>
    <row r="11" spans="1:24" x14ac:dyDescent="0.3">
      <c r="A11" s="3">
        <f t="shared" si="1"/>
        <v>10</v>
      </c>
      <c r="B11" s="4" t="s">
        <v>220</v>
      </c>
      <c r="C11" s="3">
        <v>20</v>
      </c>
      <c r="D11" s="5" t="s">
        <v>125</v>
      </c>
      <c r="E11" s="32" t="s">
        <v>115</v>
      </c>
      <c r="F11" s="5" t="s">
        <v>114</v>
      </c>
      <c r="H11" s="5" t="str">
        <f>IF(D11="",CONCATENATE(C11,'Journal - Main'!D11),"")</f>
        <v/>
      </c>
      <c r="K11" s="12">
        <f>ROUND(_xlfn.NUMBERVALUE('Journal - Main'!G11),2)</f>
        <v>475.97</v>
      </c>
      <c r="L11" s="6"/>
      <c r="M11" s="6"/>
      <c r="N11" s="6"/>
      <c r="O11" s="6"/>
      <c r="P11" s="6"/>
      <c r="Q11" s="6"/>
      <c r="R11" s="5" t="str">
        <f>CONCATENATE(Input!$B$4," ",Input!$B$5," PAY ",TEXT(Input!$B$7,"DD/MM/YY"))</f>
        <v>VIC FN PAY 21/02/24</v>
      </c>
      <c r="S11" s="5" t="str">
        <f>'Journal - Main'!B11</f>
        <v>9710670</v>
      </c>
      <c r="W11" s="5" t="str">
        <f t="shared" si="2"/>
        <v>PayID 9710670 - 18.02.24 (C24503 - 01-01-05 Contra Operations Salaries</v>
      </c>
      <c r="X11" s="29" t="s">
        <v>129</v>
      </c>
    </row>
    <row r="12" spans="1:24" x14ac:dyDescent="0.3">
      <c r="A12" s="3">
        <f t="shared" si="1"/>
        <v>11</v>
      </c>
      <c r="B12" s="4" t="s">
        <v>221</v>
      </c>
      <c r="C12" s="3">
        <v>20</v>
      </c>
      <c r="D12" s="5" t="s">
        <v>125</v>
      </c>
      <c r="E12" s="32" t="s">
        <v>120</v>
      </c>
      <c r="F12" s="5" t="s">
        <v>114</v>
      </c>
      <c r="H12" s="5" t="str">
        <f>IF(D12="",CONCATENATE(C12,'Journal - Main'!D12),"")</f>
        <v/>
      </c>
      <c r="K12" s="12">
        <f>ROUND(_xlfn.NUMBERVALUE('Journal - Main'!G12),2)</f>
        <v>113.41</v>
      </c>
      <c r="L12" s="6"/>
      <c r="M12" s="6"/>
      <c r="N12" s="6"/>
      <c r="O12" s="6"/>
      <c r="P12" s="6"/>
      <c r="Q12" s="6"/>
      <c r="R12" s="5" t="str">
        <f>CONCATENATE(Input!$B$4," ",Input!$B$5," PAY ",TEXT(Input!$B$7,"DD/MM/YY"))</f>
        <v>VIC FN PAY 21/02/24</v>
      </c>
      <c r="S12" s="5" t="str">
        <f>'Journal - Main'!B12</f>
        <v>9710670</v>
      </c>
      <c r="W12" s="5" t="str">
        <f t="shared" si="2"/>
        <v>PayID 9710670 - 18.02.24 (C24503 - 01-15-99 Yard E Operations Salaries</v>
      </c>
      <c r="X12" s="29" t="s">
        <v>153</v>
      </c>
    </row>
    <row r="13" spans="1:24" x14ac:dyDescent="0.3">
      <c r="A13" s="3">
        <f t="shared" si="1"/>
        <v>12</v>
      </c>
      <c r="B13" s="4" t="s">
        <v>222</v>
      </c>
      <c r="C13" s="3">
        <v>20</v>
      </c>
      <c r="D13" s="5" t="s">
        <v>245</v>
      </c>
      <c r="E13" s="32" t="s">
        <v>116</v>
      </c>
      <c r="F13" s="5" t="s">
        <v>114</v>
      </c>
      <c r="H13" s="5" t="str">
        <f>IF(D13="",CONCATENATE(C13,'Journal - Main'!D13),"")</f>
        <v/>
      </c>
      <c r="K13" s="12">
        <f>ROUND(_xlfn.NUMBERVALUE('Journal - Main'!G13),2)</f>
        <v>418.88</v>
      </c>
      <c r="L13" s="6"/>
      <c r="M13" s="6"/>
      <c r="N13" s="6"/>
      <c r="O13" s="6"/>
      <c r="P13" s="6"/>
      <c r="Q13" s="6"/>
      <c r="R13" s="5" t="str">
        <f>CONCATENATE(Input!$B$4," ",Input!$B$5," PAY ",TEXT(Input!$B$7,"DD/MM/YY"))</f>
        <v>VIC FN PAY 21/02/24</v>
      </c>
      <c r="S13" s="5" t="str">
        <f>'Journal - Main'!B13</f>
        <v>9710670</v>
      </c>
      <c r="W13" s="5" t="str">
        <f t="shared" si="2"/>
        <v>PayID 9710670 - 18.02.24 (C24504 - 01-01-02 Projec Operations Salaries</v>
      </c>
      <c r="X13" s="29" t="s">
        <v>156</v>
      </c>
    </row>
    <row r="14" spans="1:24" x14ac:dyDescent="0.3">
      <c r="A14" s="3">
        <f t="shared" si="1"/>
        <v>13</v>
      </c>
      <c r="B14" s="4" t="s">
        <v>223</v>
      </c>
      <c r="C14" s="3">
        <v>20</v>
      </c>
      <c r="D14" s="5" t="s">
        <v>245</v>
      </c>
      <c r="E14" s="32" t="s">
        <v>115</v>
      </c>
      <c r="F14" s="5" t="s">
        <v>114</v>
      </c>
      <c r="H14" s="5" t="str">
        <f>IF(D14="",CONCATENATE(C14,'Journal - Main'!D14),"")</f>
        <v/>
      </c>
      <c r="K14" s="12">
        <f>ROUND(_xlfn.NUMBERVALUE('Journal - Main'!G14),2)</f>
        <v>287.44</v>
      </c>
      <c r="L14" s="6"/>
      <c r="M14" s="6"/>
      <c r="N14" s="6"/>
      <c r="O14" s="6"/>
      <c r="P14" s="6"/>
      <c r="Q14" s="6"/>
      <c r="R14" s="5" t="str">
        <f>CONCATENATE(Input!$B$4," ",Input!$B$5," PAY ",TEXT(Input!$B$7,"DD/MM/YY"))</f>
        <v>VIC FN PAY 21/02/24</v>
      </c>
      <c r="S14" s="5" t="str">
        <f>'Journal - Main'!B14</f>
        <v>9710670</v>
      </c>
      <c r="W14" s="5" t="str">
        <f t="shared" si="2"/>
        <v>PayID 9710670 - 18.02.24 (C24504 - 01-01-05 Contra Operations Salaries</v>
      </c>
      <c r="X14" s="29" t="s">
        <v>159</v>
      </c>
    </row>
    <row r="15" spans="1:24" x14ac:dyDescent="0.3">
      <c r="A15" s="3">
        <f t="shared" si="1"/>
        <v>14</v>
      </c>
      <c r="B15" s="4" t="s">
        <v>224</v>
      </c>
      <c r="C15" s="3">
        <v>20</v>
      </c>
      <c r="D15" s="5" t="s">
        <v>245</v>
      </c>
      <c r="E15" s="32" t="s">
        <v>119</v>
      </c>
      <c r="F15" s="5" t="s">
        <v>114</v>
      </c>
      <c r="H15" s="5" t="str">
        <f>IF(D15="",CONCATENATE(C15,'Journal - Main'!D15),"")</f>
        <v/>
      </c>
      <c r="K15" s="12">
        <f>ROUND(_xlfn.NUMBERVALUE('Journal - Main'!G15),2)</f>
        <v>59.23</v>
      </c>
      <c r="L15" s="6"/>
      <c r="M15" s="6"/>
      <c r="N15" s="6"/>
      <c r="O15" s="6"/>
      <c r="P15" s="6"/>
      <c r="Q15" s="6"/>
      <c r="R15" s="5" t="str">
        <f>CONCATENATE(Input!$B$4," ",Input!$B$5," PAY ",TEXT(Input!$B$7,"DD/MM/YY"))</f>
        <v>VIC FN PAY 21/02/24</v>
      </c>
      <c r="S15" s="5" t="str">
        <f>'Journal - Main'!B15</f>
        <v>9710670</v>
      </c>
      <c r="W15" s="5" t="str">
        <f t="shared" si="2"/>
        <v>PayID 9710670 - 18.02.24 (C24504 - 01-01-13 Site O Operations Salaries</v>
      </c>
      <c r="X15" s="29" t="s">
        <v>162</v>
      </c>
    </row>
    <row r="16" spans="1:24" x14ac:dyDescent="0.3">
      <c r="A16" s="3">
        <f t="shared" si="1"/>
        <v>15</v>
      </c>
      <c r="B16" s="4" t="s">
        <v>225</v>
      </c>
      <c r="C16" s="3">
        <v>20</v>
      </c>
      <c r="D16" s="5" t="s">
        <v>245</v>
      </c>
      <c r="E16" s="32" t="s">
        <v>121</v>
      </c>
      <c r="F16" s="5" t="s">
        <v>114</v>
      </c>
      <c r="H16" s="5" t="str">
        <f>IF(D16="",CONCATENATE(C16,'Journal - Main'!D16),"")</f>
        <v/>
      </c>
      <c r="K16" s="12">
        <f>ROUND(_xlfn.NUMBERVALUE('Journal - Main'!G16),2)</f>
        <v>1032.83</v>
      </c>
      <c r="L16" s="6"/>
      <c r="M16" s="6"/>
      <c r="N16" s="6"/>
      <c r="O16" s="6"/>
      <c r="P16" s="6"/>
      <c r="Q16" s="6"/>
      <c r="R16" s="5" t="str">
        <f>CONCATENATE(Input!$B$4," ",Input!$B$5," PAY ",TEXT(Input!$B$7,"DD/MM/YY"))</f>
        <v>VIC FN PAY 21/02/24</v>
      </c>
      <c r="S16" s="5" t="str">
        <f>'Journal - Main'!B16</f>
        <v>9710670</v>
      </c>
      <c r="W16" s="5" t="str">
        <f t="shared" si="2"/>
        <v>PayID 9710670 - 18.02.24 (C24504 - 01-02-03 Site M Operations Salaries</v>
      </c>
      <c r="X16" s="29" t="s">
        <v>165</v>
      </c>
    </row>
    <row r="17" spans="1:24" x14ac:dyDescent="0.3">
      <c r="A17" s="3">
        <f t="shared" si="1"/>
        <v>16</v>
      </c>
      <c r="B17" s="4" t="s">
        <v>226</v>
      </c>
      <c r="C17" s="3">
        <v>10</v>
      </c>
      <c r="D17" s="5" t="s">
        <v>247</v>
      </c>
      <c r="E17" s="32" t="s">
        <v>246</v>
      </c>
      <c r="F17" s="5" t="s">
        <v>114</v>
      </c>
      <c r="H17" s="5" t="str">
        <f>IF(D17="",CONCATENATE(C17,'Journal - Main'!D17),"")</f>
        <v/>
      </c>
      <c r="K17" s="12">
        <f>ROUND(_xlfn.NUMBERVALUE('Journal - Main'!G17),2)</f>
        <v>107.34</v>
      </c>
      <c r="L17" s="6"/>
      <c r="M17" s="6"/>
      <c r="N17" s="6"/>
      <c r="O17" s="6"/>
      <c r="P17" s="6"/>
      <c r="Q17" s="6"/>
      <c r="R17" s="5" t="str">
        <f>CONCATENATE(Input!$B$4," ",Input!$B$5," PAY ",TEXT(Input!$B$7,"DD/MM/YY"))</f>
        <v>VIC FN PAY 21/02/24</v>
      </c>
      <c r="S17" s="5" t="str">
        <f>'Journal - Main'!B17</f>
        <v>9710670</v>
      </c>
      <c r="W17" s="5" t="str">
        <f t="shared" si="2"/>
        <v>PayID 9710670 - 18.02.24 (D24001 - 01-02-09 Whseq  Operations Salaries</v>
      </c>
      <c r="X17" s="29" t="s">
        <v>168</v>
      </c>
    </row>
    <row r="18" spans="1:24" x14ac:dyDescent="0.3">
      <c r="A18" s="3">
        <f t="shared" si="1"/>
        <v>17</v>
      </c>
      <c r="B18" s="4" t="s">
        <v>227</v>
      </c>
      <c r="C18" s="3">
        <v>20</v>
      </c>
      <c r="D18" s="5" t="s">
        <v>248</v>
      </c>
      <c r="E18" s="32" t="s">
        <v>246</v>
      </c>
      <c r="F18" s="5" t="s">
        <v>114</v>
      </c>
      <c r="H18" s="5" t="str">
        <f>IF(D18="",CONCATENATE(C18,'Journal - Main'!D18),"")</f>
        <v/>
      </c>
      <c r="K18" s="12">
        <f>ROUND(_xlfn.NUMBERVALUE('Journal - Main'!G18),2)</f>
        <v>429.28</v>
      </c>
      <c r="L18" s="6"/>
      <c r="M18" s="6"/>
      <c r="N18" s="6"/>
      <c r="O18" s="6"/>
      <c r="P18" s="6"/>
      <c r="Q18" s="6"/>
      <c r="R18" s="5" t="str">
        <f>CONCATENATE(Input!$B$4," ",Input!$B$5," PAY ",TEXT(Input!$B$7,"DD/MM/YY"))</f>
        <v>VIC FN PAY 21/02/24</v>
      </c>
      <c r="S18" s="5" t="str">
        <f>'Journal - Main'!B18</f>
        <v>9710670</v>
      </c>
      <c r="W18" s="5" t="str">
        <f t="shared" si="2"/>
        <v>PayID 9710670 - 18.02.24 (D24501 - 01-02-09 Whseq  Operations Salaries</v>
      </c>
      <c r="X18" s="29" t="s">
        <v>171</v>
      </c>
    </row>
    <row r="19" spans="1:24" x14ac:dyDescent="0.3">
      <c r="A19" s="3">
        <f t="shared" si="1"/>
        <v>18</v>
      </c>
      <c r="B19" s="4" t="s">
        <v>228</v>
      </c>
      <c r="C19" s="3">
        <v>20</v>
      </c>
      <c r="D19" s="5" t="s">
        <v>130</v>
      </c>
      <c r="E19" s="32" t="s">
        <v>121</v>
      </c>
      <c r="F19" s="5" t="s">
        <v>114</v>
      </c>
      <c r="H19" s="5" t="str">
        <f>IF(D19="",CONCATENATE(C19,'Journal - Main'!D19),"")</f>
        <v/>
      </c>
      <c r="K19" s="12">
        <f>ROUND(_xlfn.NUMBERVALUE('Journal - Main'!G19),2)</f>
        <v>51.61</v>
      </c>
      <c r="L19" s="6"/>
      <c r="M19" s="6"/>
      <c r="N19" s="6"/>
      <c r="O19" s="6"/>
      <c r="P19" s="6"/>
      <c r="Q19" s="6"/>
      <c r="R19" s="5" t="str">
        <f>CONCATENATE(Input!$B$4," ",Input!$B$5," PAY ",TEXT(Input!$B$7,"DD/MM/YY"))</f>
        <v>VIC FN PAY 21/02/24</v>
      </c>
      <c r="S19" s="5" t="str">
        <f>'Journal - Main'!B19</f>
        <v>9710670</v>
      </c>
      <c r="W19" s="5" t="str">
        <f t="shared" si="2"/>
        <v>PayID 9710670 - 18.02.24 (C24505 - 01-02-03 Site M Operations Salaries</v>
      </c>
      <c r="X19" s="29" t="s">
        <v>174</v>
      </c>
    </row>
    <row r="20" spans="1:24" x14ac:dyDescent="0.3">
      <c r="A20" s="3">
        <f t="shared" si="1"/>
        <v>19</v>
      </c>
      <c r="B20" s="4" t="s">
        <v>229</v>
      </c>
      <c r="C20" s="3">
        <v>20</v>
      </c>
      <c r="D20" s="5" t="s">
        <v>249</v>
      </c>
      <c r="E20" s="32" t="s">
        <v>116</v>
      </c>
      <c r="F20" s="5" t="s">
        <v>114</v>
      </c>
      <c r="H20" s="5" t="str">
        <f>IF(D20="",CONCATENATE(C20,'Journal - Main'!D20),"")</f>
        <v/>
      </c>
      <c r="K20" s="12">
        <f>ROUND(_xlfn.NUMBERVALUE('Journal - Main'!G20),2)</f>
        <v>168.18</v>
      </c>
      <c r="L20" s="6"/>
      <c r="M20" s="6"/>
      <c r="N20" s="6"/>
      <c r="O20" s="6"/>
      <c r="P20" s="6"/>
      <c r="Q20" s="6"/>
      <c r="R20" s="5" t="str">
        <f>CONCATENATE(Input!$B$4," ",Input!$B$5," PAY ",TEXT(Input!$B$7,"DD/MM/YY"))</f>
        <v>VIC FN PAY 21/02/24</v>
      </c>
      <c r="S20" s="5" t="str">
        <f>'Journal - Main'!B20</f>
        <v>9710670</v>
      </c>
      <c r="W20" s="5" t="str">
        <f t="shared" si="2"/>
        <v>PayID 9710670 - 18.02.24 (C24506 - 01-01-02 Projec Operations Salaries</v>
      </c>
      <c r="X20" s="29" t="s">
        <v>177</v>
      </c>
    </row>
    <row r="21" spans="1:24" x14ac:dyDescent="0.3">
      <c r="A21" s="3">
        <f t="shared" si="1"/>
        <v>20</v>
      </c>
      <c r="B21" s="4" t="s">
        <v>230</v>
      </c>
      <c r="C21" s="3">
        <v>20</v>
      </c>
      <c r="D21" s="5" t="s">
        <v>249</v>
      </c>
      <c r="E21" s="32" t="s">
        <v>115</v>
      </c>
      <c r="F21" s="5" t="s">
        <v>114</v>
      </c>
      <c r="H21" s="5" t="str">
        <f>IF(D21="",CONCATENATE(C21,'Journal - Main'!D21),"")</f>
        <v/>
      </c>
      <c r="K21" s="12">
        <f>ROUND(_xlfn.NUMBERVALUE('Journal - Main'!G21),2)</f>
        <v>253.8</v>
      </c>
      <c r="L21" s="6"/>
      <c r="M21" s="6"/>
      <c r="N21" s="6"/>
      <c r="O21" s="6"/>
      <c r="P21" s="6"/>
      <c r="Q21" s="6"/>
      <c r="R21" s="5" t="str">
        <f>CONCATENATE(Input!$B$4," ",Input!$B$5," PAY ",TEXT(Input!$B$7,"DD/MM/YY"))</f>
        <v>VIC FN PAY 21/02/24</v>
      </c>
      <c r="S21" s="5" t="str">
        <f>'Journal - Main'!B21</f>
        <v>9710670</v>
      </c>
      <c r="W21" s="5" t="str">
        <f t="shared" si="2"/>
        <v>PayID 9710670 - 18.02.24 (C24506 - 01-01-05 Contra Operations Salaries</v>
      </c>
      <c r="X21" s="29" t="s">
        <v>180</v>
      </c>
    </row>
    <row r="22" spans="1:24" x14ac:dyDescent="0.3">
      <c r="A22" s="3">
        <f t="shared" si="1"/>
        <v>21</v>
      </c>
      <c r="B22" s="4" t="s">
        <v>231</v>
      </c>
      <c r="C22" s="3">
        <v>20</v>
      </c>
      <c r="D22" s="5" t="s">
        <v>249</v>
      </c>
      <c r="E22" s="32" t="s">
        <v>121</v>
      </c>
      <c r="F22" s="5" t="s">
        <v>114</v>
      </c>
      <c r="H22" s="5" t="str">
        <f>IF(D22="",CONCATENATE(C22,'Journal - Main'!D22),"")</f>
        <v/>
      </c>
      <c r="K22" s="12">
        <f>ROUND(_xlfn.NUMBERVALUE('Journal - Main'!G22),2)</f>
        <v>709.67</v>
      </c>
      <c r="L22" s="6"/>
      <c r="M22" s="6"/>
      <c r="N22" s="6"/>
      <c r="O22" s="6"/>
      <c r="P22" s="6"/>
      <c r="Q22" s="6"/>
      <c r="R22" s="5" t="str">
        <f>CONCATENATE(Input!$B$4," ",Input!$B$5," PAY ",TEXT(Input!$B$7,"DD/MM/YY"))</f>
        <v>VIC FN PAY 21/02/24</v>
      </c>
      <c r="S22" s="5" t="str">
        <f>'Journal - Main'!B22</f>
        <v>9710670</v>
      </c>
      <c r="W22" s="5" t="str">
        <f t="shared" si="2"/>
        <v>PayID 9710670 - 18.02.24 (C24506 - 01-02-03 Site M Operations Salaries</v>
      </c>
      <c r="X22" s="29" t="s">
        <v>183</v>
      </c>
    </row>
    <row r="23" spans="1:24" x14ac:dyDescent="0.3">
      <c r="A23" s="3">
        <f t="shared" si="1"/>
        <v>22</v>
      </c>
      <c r="B23" s="4" t="s">
        <v>232</v>
      </c>
      <c r="C23" s="3">
        <v>20</v>
      </c>
      <c r="D23" s="5" t="s">
        <v>250</v>
      </c>
      <c r="E23" s="32" t="s">
        <v>120</v>
      </c>
      <c r="F23" s="5" t="s">
        <v>114</v>
      </c>
      <c r="H23" s="5" t="str">
        <f>IF(D23="",CONCATENATE(C23,'Journal - Main'!D23),"")</f>
        <v/>
      </c>
      <c r="K23" s="12">
        <f>ROUND(_xlfn.NUMBERVALUE('Journal - Main'!G23),2)</f>
        <v>41.42</v>
      </c>
      <c r="L23" s="6"/>
      <c r="M23" s="6"/>
      <c r="N23" s="6"/>
      <c r="O23" s="6"/>
      <c r="P23" s="6"/>
      <c r="Q23" s="6"/>
      <c r="R23" s="5" t="str">
        <f>CONCATENATE(Input!$B$4," ",Input!$B$5," PAY ",TEXT(Input!$B$7,"DD/MM/YY"))</f>
        <v>VIC FN PAY 21/02/24</v>
      </c>
      <c r="S23" s="5" t="str">
        <f>'Journal - Main'!B23</f>
        <v>9710670</v>
      </c>
      <c r="W23" s="5" t="str">
        <f t="shared" si="2"/>
        <v>PayID 9710670 - 18.02.24 (C24507 - 01-15-99 Yard E Operations Salaries</v>
      </c>
      <c r="X23" s="29" t="s">
        <v>186</v>
      </c>
    </row>
    <row r="24" spans="1:24" x14ac:dyDescent="0.3">
      <c r="A24" s="3">
        <f t="shared" si="1"/>
        <v>23</v>
      </c>
      <c r="B24" s="4" t="s">
        <v>233</v>
      </c>
      <c r="C24" s="3">
        <v>20</v>
      </c>
      <c r="D24" s="5" t="s">
        <v>251</v>
      </c>
      <c r="E24" s="32" t="s">
        <v>119</v>
      </c>
      <c r="F24" s="5" t="s">
        <v>114</v>
      </c>
      <c r="H24" s="5" t="str">
        <f>IF(D24="",CONCATENATE(C24,'Journal - Main'!D24),"")</f>
        <v/>
      </c>
      <c r="K24" s="12">
        <f>ROUND(_xlfn.NUMBERVALUE('Journal - Main'!G24),2)</f>
        <v>57.12</v>
      </c>
      <c r="L24" s="6"/>
      <c r="M24" s="6"/>
      <c r="N24" s="6"/>
      <c r="O24" s="6"/>
      <c r="P24" s="6"/>
      <c r="Q24" s="6"/>
      <c r="R24" s="5" t="str">
        <f>CONCATENATE(Input!$B$4," ",Input!$B$5," PAY ",TEXT(Input!$B$7,"DD/MM/YY"))</f>
        <v>VIC FN PAY 21/02/24</v>
      </c>
      <c r="S24" s="5" t="str">
        <f>'Journal - Main'!B24</f>
        <v>9710670</v>
      </c>
      <c r="W24" s="5" t="str">
        <f t="shared" si="2"/>
        <v>PayID 9710670 - 18.02.24 (C24511 - 01-01-13 Site O Operations Salaries</v>
      </c>
      <c r="X24" s="29" t="s">
        <v>189</v>
      </c>
    </row>
    <row r="25" spans="1:24" x14ac:dyDescent="0.3">
      <c r="A25" s="3">
        <f t="shared" si="1"/>
        <v>24</v>
      </c>
      <c r="B25" s="4" t="s">
        <v>234</v>
      </c>
      <c r="C25" s="3">
        <v>20</v>
      </c>
      <c r="D25" s="5" t="s">
        <v>251</v>
      </c>
      <c r="E25" s="32" t="s">
        <v>121</v>
      </c>
      <c r="F25" s="5" t="s">
        <v>114</v>
      </c>
      <c r="H25" s="5" t="str">
        <f>IF(D25="",CONCATENATE(C25,'Journal - Main'!D25),"")</f>
        <v/>
      </c>
      <c r="K25" s="12">
        <f>ROUND(_xlfn.NUMBERVALUE('Journal - Main'!G25),2)</f>
        <v>114.24</v>
      </c>
      <c r="L25" s="6"/>
      <c r="M25" s="6"/>
      <c r="N25" s="6"/>
      <c r="O25" s="6"/>
      <c r="P25" s="6"/>
      <c r="Q25" s="6"/>
      <c r="R25" s="5" t="str">
        <f>CONCATENATE(Input!$B$4," ",Input!$B$5," PAY ",TEXT(Input!$B$7,"DD/MM/YY"))</f>
        <v>VIC FN PAY 21/02/24</v>
      </c>
      <c r="S25" s="5" t="str">
        <f>'Journal - Main'!B25</f>
        <v>9710670</v>
      </c>
      <c r="W25" s="5" t="str">
        <f t="shared" si="2"/>
        <v>PayID 9710670 - 18.02.24 (C24511 - 01-02-03 Site M Operations Salaries</v>
      </c>
      <c r="X25" s="29" t="s">
        <v>192</v>
      </c>
    </row>
    <row r="26" spans="1:24" x14ac:dyDescent="0.3">
      <c r="A26" s="3">
        <f t="shared" si="1"/>
        <v>25</v>
      </c>
      <c r="B26" s="4" t="s">
        <v>235</v>
      </c>
      <c r="C26" s="3">
        <v>20</v>
      </c>
      <c r="D26" s="5" t="s">
        <v>252</v>
      </c>
      <c r="E26" s="32" t="s">
        <v>116</v>
      </c>
      <c r="F26" s="5" t="s">
        <v>114</v>
      </c>
      <c r="H26" s="5" t="str">
        <f>IF(D26="",CONCATENATE(C26,'Journal - Main'!D26),"")</f>
        <v/>
      </c>
      <c r="K26" s="12">
        <f>ROUND(_xlfn.NUMBERVALUE('Journal - Main'!G26),2)</f>
        <v>168.16</v>
      </c>
      <c r="L26" s="6"/>
      <c r="M26" s="6"/>
      <c r="N26" s="6"/>
      <c r="O26" s="6"/>
      <c r="P26" s="6"/>
      <c r="Q26" s="6"/>
      <c r="R26" s="5" t="str">
        <f>CONCATENATE(Input!$B$4," ",Input!$B$5," PAY ",TEXT(Input!$B$7,"DD/MM/YY"))</f>
        <v>VIC FN PAY 21/02/24</v>
      </c>
      <c r="S26" s="5" t="str">
        <f>'Journal - Main'!B26</f>
        <v>9710670</v>
      </c>
      <c r="W26" s="5" t="str">
        <f t="shared" si="2"/>
        <v>PayID 9710670 - 18.02.24 (C24512 - 01-01-02 Projec Operations Salaries</v>
      </c>
      <c r="X26" s="29" t="s">
        <v>195</v>
      </c>
    </row>
    <row r="27" spans="1:24" x14ac:dyDescent="0.3">
      <c r="A27" s="3">
        <f t="shared" si="1"/>
        <v>26</v>
      </c>
      <c r="B27" s="4" t="s">
        <v>236</v>
      </c>
      <c r="C27" s="3">
        <v>20</v>
      </c>
      <c r="D27" s="5" t="s">
        <v>252</v>
      </c>
      <c r="E27" s="32" t="s">
        <v>115</v>
      </c>
      <c r="F27" s="5" t="s">
        <v>114</v>
      </c>
      <c r="H27" s="5" t="str">
        <f>IF(D27="",CONCATENATE(C27,'Journal - Main'!D27),"")</f>
        <v/>
      </c>
      <c r="K27" s="12">
        <f>ROUND(_xlfn.NUMBERVALUE('Journal - Main'!G27),2)</f>
        <v>287.45999999999998</v>
      </c>
      <c r="L27" s="6"/>
      <c r="M27" s="6"/>
      <c r="N27" s="6"/>
      <c r="O27" s="6"/>
      <c r="P27" s="6"/>
      <c r="Q27" s="6"/>
      <c r="R27" s="5" t="str">
        <f>CONCATENATE(Input!$B$4," ",Input!$B$5," PAY ",TEXT(Input!$B$7,"DD/MM/YY"))</f>
        <v>VIC FN PAY 21/02/24</v>
      </c>
      <c r="S27" s="5" t="str">
        <f>'Journal - Main'!B27</f>
        <v>9710670</v>
      </c>
      <c r="W27" s="5" t="str">
        <f t="shared" si="2"/>
        <v>PayID 9710670 - 18.02.24 (C24512 - 01-01-05 Contra Operations Salaries</v>
      </c>
      <c r="X27" s="29" t="s">
        <v>198</v>
      </c>
    </row>
    <row r="28" spans="1:24" x14ac:dyDescent="0.3">
      <c r="A28" s="3">
        <f t="shared" si="1"/>
        <v>27</v>
      </c>
      <c r="B28" s="4" t="s">
        <v>237</v>
      </c>
      <c r="C28" s="3">
        <v>20</v>
      </c>
      <c r="D28" s="5" t="s">
        <v>252</v>
      </c>
      <c r="E28" s="32" t="s">
        <v>121</v>
      </c>
      <c r="F28" s="5" t="s">
        <v>114</v>
      </c>
      <c r="H28" s="5" t="str">
        <f>IF(D28="",CONCATENATE(C28,'Journal - Main'!D28),"")</f>
        <v/>
      </c>
      <c r="K28" s="12">
        <f>ROUND(_xlfn.NUMBERVALUE('Journal - Main'!G28),2)</f>
        <v>614.11</v>
      </c>
      <c r="L28" s="6"/>
      <c r="M28" s="6"/>
      <c r="N28" s="6"/>
      <c r="O28" s="6"/>
      <c r="P28" s="6"/>
      <c r="Q28" s="6"/>
      <c r="R28" s="5" t="str">
        <f>CONCATENATE(Input!$B$4," ",Input!$B$5," PAY ",TEXT(Input!$B$7,"DD/MM/YY"))</f>
        <v>VIC FN PAY 21/02/24</v>
      </c>
      <c r="S28" s="5" t="str">
        <f>'Journal - Main'!B28</f>
        <v>9710670</v>
      </c>
      <c r="W28" s="5" t="str">
        <f t="shared" si="2"/>
        <v>PayID 9710670 - 18.02.24 (C24512 - 01-02-03 Site M Operations Salaries</v>
      </c>
      <c r="X28" s="29" t="s">
        <v>201</v>
      </c>
    </row>
    <row r="29" spans="1:24" x14ac:dyDescent="0.3">
      <c r="A29" s="3">
        <f t="shared" si="1"/>
        <v>28</v>
      </c>
      <c r="B29" s="4" t="s">
        <v>238</v>
      </c>
      <c r="C29" s="3">
        <v>20</v>
      </c>
      <c r="D29" s="5" t="s">
        <v>254</v>
      </c>
      <c r="E29" s="32" t="s">
        <v>253</v>
      </c>
      <c r="F29" s="5" t="s">
        <v>114</v>
      </c>
      <c r="H29" s="5" t="str">
        <f>IF(D29="",CONCATENATE(C29,'Journal - Main'!D29),"")</f>
        <v/>
      </c>
      <c r="K29" s="12">
        <f>ROUND(_xlfn.NUMBERVALUE('Journal - Main'!G29),2)</f>
        <v>126.94</v>
      </c>
      <c r="L29" s="6"/>
      <c r="M29" s="6"/>
      <c r="N29" s="6"/>
      <c r="O29" s="6"/>
      <c r="P29" s="6"/>
      <c r="Q29" s="6"/>
      <c r="R29" s="5" t="str">
        <f>CONCATENATE(Input!$B$4," ",Input!$B$5," PAY ",TEXT(Input!$B$7,"DD/MM/YY"))</f>
        <v>VIC FN PAY 21/02/24</v>
      </c>
      <c r="S29" s="5" t="str">
        <f>'Journal - Main'!B29</f>
        <v>9710670</v>
      </c>
      <c r="W29" s="5" t="str">
        <f t="shared" si="2"/>
        <v>PayID 9710670 - 18.02.24 (C24508 - 511 Officeworks Operations Salaries</v>
      </c>
      <c r="X29" s="29" t="s">
        <v>204</v>
      </c>
    </row>
    <row r="30" spans="1:24" x14ac:dyDescent="0.3">
      <c r="A30" s="3">
        <f t="shared" si="1"/>
        <v>29</v>
      </c>
      <c r="B30" s="4" t="s">
        <v>239</v>
      </c>
      <c r="C30" s="3">
        <f>IF(AND(ISNUMBER(MATCH('Journal - Main'!$E30,Lookups!$K$5:$K$16,0))=FALSE,OR(MID('Journal - Main'!N30,4,1)="C",MID('Journal - Main'!N30,4,1)="D")),LEFT('Journal - Main'!N30,2),Input!$B$6)</f>
        <v>20</v>
      </c>
      <c r="E30" s="32" t="s">
        <v>102</v>
      </c>
      <c r="H30" s="5" t="str">
        <f>IF(D30="",CONCATENATE(C30,'Journal - Main'!D30),"")</f>
        <v>209505</v>
      </c>
      <c r="K30" s="12">
        <f>ROUND(_xlfn.NUMBERVALUE('Journal - Main'!G30),2)</f>
        <v>432.71</v>
      </c>
      <c r="L30" s="6"/>
      <c r="M30" s="6"/>
      <c r="N30" s="6"/>
      <c r="O30" s="6"/>
      <c r="P30" s="6"/>
      <c r="Q30" s="6"/>
      <c r="R30" s="5" t="str">
        <f>CONCATENATE(Input!$B$4," ",Input!$B$5," PAY ",TEXT(Input!$B$7,"DD/MM/YY"))</f>
        <v>VIC FN PAY 21/02/24</v>
      </c>
      <c r="S30" s="5" t="str">
        <f>'Journal - Main'!B30</f>
        <v>9710670</v>
      </c>
      <c r="W30" s="5" t="str">
        <f t="shared" si="2"/>
        <v>PayID 9710670 - 18.02.24 (Estimating - VIC - PBV) Estimating Salaries</v>
      </c>
      <c r="X30" s="29" t="s">
        <v>124</v>
      </c>
    </row>
    <row r="31" spans="1:24" x14ac:dyDescent="0.3">
      <c r="A31" s="3">
        <f t="shared" si="1"/>
        <v>30</v>
      </c>
      <c r="B31" s="4" t="s">
        <v>240</v>
      </c>
      <c r="C31" s="3">
        <f>IF(AND(ISNUMBER(MATCH('Journal - Main'!$E31,Lookups!$K$5:$K$16,0))=FALSE,OR(MID('Journal - Main'!N31,4,1)="C",MID('Journal - Main'!N31,4,1)="D")),LEFT('Journal - Main'!N31,2),Input!$B$6)</f>
        <v>20</v>
      </c>
      <c r="E31" s="32" t="s">
        <v>102</v>
      </c>
      <c r="H31" s="5" t="str">
        <f>IF(D31="",CONCATENATE(C31,'Journal - Main'!D31),"")</f>
        <v>209504</v>
      </c>
      <c r="K31" s="12">
        <f>ROUND(_xlfn.NUMBERVALUE('Journal - Main'!G31),2)</f>
        <v>338.45</v>
      </c>
      <c r="L31" s="6"/>
      <c r="M31" s="6"/>
      <c r="N31" s="6"/>
      <c r="O31" s="6"/>
      <c r="P31" s="6"/>
      <c r="Q31" s="6"/>
      <c r="R31" s="5" t="str">
        <f>CONCATENATE(Input!$B$4," ",Input!$B$5," PAY ",TEXT(Input!$B$7,"DD/MM/YY"))</f>
        <v>VIC FN PAY 21/02/24</v>
      </c>
      <c r="S31" s="5" t="str">
        <f>'Journal - Main'!B31</f>
        <v>9710670</v>
      </c>
      <c r="W31" s="5" t="str">
        <f t="shared" si="2"/>
        <v>PayID 9710670 - 18.02.24 (Admin - VIC - PBV) Salaries - Admin</v>
      </c>
      <c r="X31" s="29" t="s">
        <v>208</v>
      </c>
    </row>
    <row r="32" spans="1:24" x14ac:dyDescent="0.3">
      <c r="A32" s="3">
        <f t="shared" si="1"/>
        <v>31</v>
      </c>
      <c r="B32" s="4" t="s">
        <v>241</v>
      </c>
      <c r="C32" s="3">
        <f>IF(AND(ISNUMBER(MATCH('Journal - Main'!$E32,Lookups!$K$5:$K$16,0))=FALSE,OR(MID('Journal - Main'!N32,4,1)="C",MID('Journal - Main'!N32,4,1)="D")),LEFT('Journal - Main'!N32,2),Input!$B$6)</f>
        <v>20</v>
      </c>
      <c r="E32" s="32" t="s">
        <v>102</v>
      </c>
      <c r="H32" s="5" t="str">
        <f>IF(D32="",CONCATENATE(C32,'Journal - Main'!D32),"")</f>
        <v>203204</v>
      </c>
      <c r="K32" s="12">
        <f>ROUND(_xlfn.NUMBERVALUE('Journal - Main'!G32),2)</f>
        <v>-10115.32</v>
      </c>
      <c r="L32" s="6"/>
      <c r="M32" s="6"/>
      <c r="N32" s="6"/>
      <c r="O32" s="6"/>
      <c r="P32" s="6"/>
      <c r="Q32" s="6"/>
      <c r="R32" s="5" t="str">
        <f>CONCATENATE(Input!$B$4," ",Input!$B$5," PAY ",TEXT(Input!$B$7,"DD/MM/YY"))</f>
        <v>VIC FN PAY 21/02/24</v>
      </c>
      <c r="S32" s="5" t="str">
        <f>'Journal - Main'!B32</f>
        <v>9710670</v>
      </c>
      <c r="W32" s="5" t="str">
        <f t="shared" si="2"/>
        <v>PayID 9710670 - 18.02.24 () Superannuation Clearing</v>
      </c>
    </row>
    <row r="33" spans="1:24" x14ac:dyDescent="0.3">
      <c r="A33" s="3">
        <f t="shared" si="1"/>
        <v>32</v>
      </c>
      <c r="B33" s="4" t="s">
        <v>213</v>
      </c>
      <c r="C33" s="3">
        <f>IF(AND(ISNUMBER(MATCH('Journal - Main'!$E33,Lookups!$K$5:$K$16,0))=FALSE,OR(MID('Journal - Main'!N33,4,1)="C",MID('Journal - Main'!N33,4,1)="D")),LEFT('Journal - Main'!N33,2),Input!$B$6)</f>
        <v>20</v>
      </c>
      <c r="E33" s="32" t="s">
        <v>102</v>
      </c>
      <c r="H33" s="5" t="str">
        <f>IF(D33="",CONCATENATE(C33,'Journal - Main'!D33),"")</f>
        <v>209510</v>
      </c>
      <c r="K33" s="12">
        <f>ROUND(_xlfn.NUMBERVALUE('Journal - Main'!G33),2)</f>
        <v>10395.01</v>
      </c>
      <c r="L33" s="6"/>
      <c r="M33" s="6"/>
      <c r="N33" s="6"/>
      <c r="O33" s="6"/>
      <c r="P33" s="6"/>
      <c r="Q33" s="6"/>
      <c r="R33" s="5" t="str">
        <f>CONCATENATE(Input!$B$4," ",Input!$B$5," PAY ",TEXT(Input!$B$7,"DD/MM/YY"))</f>
        <v>VIC FN PAY 21/02/24</v>
      </c>
      <c r="S33" s="5" t="str">
        <f>'Journal - Main'!B33</f>
        <v>9710670</v>
      </c>
      <c r="W33" s="5" t="str">
        <f t="shared" si="2"/>
        <v>PayID 9710670 - 18.02.24 (Executive - VIC - PBV) Executive Salaries</v>
      </c>
      <c r="X33" s="29" t="s">
        <v>135</v>
      </c>
    </row>
    <row r="34" spans="1:24" x14ac:dyDescent="0.3">
      <c r="A34" s="3">
        <f t="shared" si="1"/>
        <v>33</v>
      </c>
      <c r="B34" s="4" t="s">
        <v>242</v>
      </c>
      <c r="C34" s="3">
        <f>IF(AND(ISNUMBER(MATCH('Journal - Main'!$E34,Lookups!$K$5:$K$16,0))=FALSE,OR(MID('Journal - Main'!N34,4,1)="C",MID('Journal - Main'!N34,4,1)="D")),LEFT('Journal - Main'!N34,2),Input!$B$6)</f>
        <v>20</v>
      </c>
      <c r="E34" s="32" t="s">
        <v>102</v>
      </c>
      <c r="H34" s="5" t="str">
        <f>IF(D34="",CONCATENATE(C34,'Journal - Main'!D34),"")</f>
        <v>209508</v>
      </c>
      <c r="K34" s="12">
        <f>ROUND(_xlfn.NUMBERVALUE('Journal - Main'!G34),2)</f>
        <v>3306</v>
      </c>
      <c r="L34" s="6"/>
      <c r="M34" s="6"/>
      <c r="N34" s="6"/>
      <c r="O34" s="6"/>
      <c r="P34" s="6"/>
      <c r="Q34" s="6"/>
      <c r="R34" s="5" t="str">
        <f>CONCATENATE(Input!$B$4," ",Input!$B$5," PAY ",TEXT(Input!$B$7,"DD/MM/YY"))</f>
        <v>VIC FN PAY 21/02/24</v>
      </c>
      <c r="S34" s="5" t="str">
        <f>'Journal - Main'!B34</f>
        <v>9710670</v>
      </c>
      <c r="W34" s="5" t="str">
        <f t="shared" si="2"/>
        <v>PayID 9710670 - 18.02.24 (PRIME BUILD VIC) Operations Salaries</v>
      </c>
    </row>
    <row r="35" spans="1:24" x14ac:dyDescent="0.3">
      <c r="A35" s="3">
        <f t="shared" si="1"/>
        <v>34</v>
      </c>
      <c r="B35" s="4" t="s">
        <v>214</v>
      </c>
      <c r="C35" s="3">
        <f>IF(AND(ISNUMBER(MATCH('Journal - Main'!$E35,Lookups!$K$5:$K$16,0))=FALSE,OR(MID('Journal - Main'!N35,4,1)="C",MID('Journal - Main'!N35,4,1)="D")),LEFT('Journal - Main'!N35,2),Input!$B$6)</f>
        <v>20</v>
      </c>
      <c r="E35" s="32" t="s">
        <v>102</v>
      </c>
      <c r="H35" s="5" t="str">
        <f>IF(D35="",CONCATENATE(C35,'Journal - Main'!D35),"")</f>
        <v>209508</v>
      </c>
      <c r="K35" s="12">
        <f>ROUND(_xlfn.NUMBERVALUE('Journal - Main'!G35),2)</f>
        <v>14098.21</v>
      </c>
      <c r="L35" s="6"/>
      <c r="M35" s="6"/>
      <c r="N35" s="6"/>
      <c r="O35" s="6"/>
      <c r="P35" s="6"/>
      <c r="Q35" s="6"/>
      <c r="R35" s="5" t="str">
        <f>CONCATENATE(Input!$B$4," ",Input!$B$5," PAY ",TEXT(Input!$B$7,"DD/MM/YY"))</f>
        <v>VIC FN PAY 21/02/24</v>
      </c>
      <c r="S35" s="5" t="str">
        <f>'Journal - Main'!B35</f>
        <v>9710670</v>
      </c>
      <c r="W35" s="5" t="str">
        <f t="shared" si="2"/>
        <v>PayID 9710670 - 18.02.24 (PRIME BUILD HOLDINGS PTY Operations Salaries</v>
      </c>
    </row>
    <row r="36" spans="1:24" x14ac:dyDescent="0.3">
      <c r="A36" s="3">
        <f t="shared" si="1"/>
        <v>35</v>
      </c>
      <c r="B36" s="4" t="s">
        <v>215</v>
      </c>
      <c r="C36" s="3">
        <v>20</v>
      </c>
      <c r="D36" s="5" t="s">
        <v>243</v>
      </c>
      <c r="E36" s="32" t="s">
        <v>116</v>
      </c>
      <c r="F36" s="5" t="s">
        <v>114</v>
      </c>
      <c r="H36" s="5" t="str">
        <f>IF(D36="",CONCATENATE(C36,'Journal - Main'!D36),"")</f>
        <v/>
      </c>
      <c r="K36" s="12">
        <f>ROUND(_xlfn.NUMBERVALUE('Journal - Main'!G36),2)</f>
        <v>2538.48</v>
      </c>
      <c r="L36" s="6"/>
      <c r="M36" s="6"/>
      <c r="N36" s="6"/>
      <c r="O36" s="6"/>
      <c r="P36" s="6"/>
      <c r="Q36" s="6"/>
      <c r="R36" s="5" t="str">
        <f>CONCATENATE(Input!$B$4," ",Input!$B$5," PAY ",TEXT(Input!$B$7,"DD/MM/YY"))</f>
        <v>VIC FN PAY 21/02/24</v>
      </c>
      <c r="S36" s="5" t="str">
        <f>'Journal - Main'!B36</f>
        <v>9710670</v>
      </c>
      <c r="W36" s="5" t="str">
        <f t="shared" si="2"/>
        <v>PayID 9710670 - 18.02.24 (C23514 - 01-01-02 Projec Operations Salaries</v>
      </c>
      <c r="X36" s="29" t="s">
        <v>139</v>
      </c>
    </row>
    <row r="37" spans="1:24" x14ac:dyDescent="0.3">
      <c r="A37" s="3">
        <f t="shared" si="1"/>
        <v>36</v>
      </c>
      <c r="B37" s="4" t="s">
        <v>216</v>
      </c>
      <c r="C37" s="3">
        <v>20</v>
      </c>
      <c r="D37" s="5" t="s">
        <v>243</v>
      </c>
      <c r="E37" s="32" t="s">
        <v>115</v>
      </c>
      <c r="F37" s="5" t="s">
        <v>114</v>
      </c>
      <c r="H37" s="5" t="str">
        <f>IF(D37="",CONCATENATE(C37,'Journal - Main'!D37),"")</f>
        <v/>
      </c>
      <c r="K37" s="12">
        <f>ROUND(_xlfn.NUMBERVALUE('Journal - Main'!G37),2)</f>
        <v>2307.6799999999998</v>
      </c>
      <c r="L37" s="6"/>
      <c r="M37" s="6"/>
      <c r="N37" s="6"/>
      <c r="O37" s="6"/>
      <c r="P37" s="6"/>
      <c r="Q37" s="6"/>
      <c r="R37" s="5" t="str">
        <f>CONCATENATE(Input!$B$4," ",Input!$B$5," PAY ",TEXT(Input!$B$7,"DD/MM/YY"))</f>
        <v>VIC FN PAY 21/02/24</v>
      </c>
      <c r="S37" s="5" t="str">
        <f>'Journal - Main'!B37</f>
        <v>9710670</v>
      </c>
      <c r="W37" s="5" t="str">
        <f t="shared" si="2"/>
        <v>PayID 9710670 - 18.02.24 (C23514 - 01-01-05 Contra Operations Salaries</v>
      </c>
      <c r="X37" s="29" t="s">
        <v>142</v>
      </c>
    </row>
    <row r="38" spans="1:24" x14ac:dyDescent="0.3">
      <c r="A38" s="3">
        <f t="shared" si="1"/>
        <v>37</v>
      </c>
      <c r="B38" s="4" t="s">
        <v>217</v>
      </c>
      <c r="C38" s="3">
        <v>20</v>
      </c>
      <c r="D38" s="5" t="s">
        <v>243</v>
      </c>
      <c r="E38" s="32" t="s">
        <v>121</v>
      </c>
      <c r="F38" s="5" t="s">
        <v>114</v>
      </c>
      <c r="H38" s="5" t="str">
        <f>IF(D38="",CONCATENATE(C38,'Journal - Main'!D38),"")</f>
        <v/>
      </c>
      <c r="K38" s="12">
        <f>ROUND(_xlfn.NUMBERVALUE('Journal - Main'!G38),2)</f>
        <v>5468.56</v>
      </c>
      <c r="L38" s="6"/>
      <c r="M38" s="6"/>
      <c r="N38" s="6"/>
      <c r="O38" s="6"/>
      <c r="P38" s="6"/>
      <c r="Q38" s="6"/>
      <c r="R38" s="5" t="str">
        <f>CONCATENATE(Input!$B$4," ",Input!$B$5," PAY ",TEXT(Input!$B$7,"DD/MM/YY"))</f>
        <v>VIC FN PAY 21/02/24</v>
      </c>
      <c r="S38" s="5" t="str">
        <f>'Journal - Main'!B38</f>
        <v>9710670</v>
      </c>
      <c r="W38" s="5" t="str">
        <f t="shared" si="2"/>
        <v>PayID 9710670 - 18.02.24 (C23514 - 01-02-03 Site M Operations Salaries</v>
      </c>
      <c r="X38" s="29" t="s">
        <v>145</v>
      </c>
    </row>
    <row r="39" spans="1:24" x14ac:dyDescent="0.3">
      <c r="A39" s="3">
        <f t="shared" si="1"/>
        <v>38</v>
      </c>
      <c r="B39" s="4" t="s">
        <v>218</v>
      </c>
      <c r="C39" s="3">
        <v>20</v>
      </c>
      <c r="D39" s="5" t="s">
        <v>244</v>
      </c>
      <c r="E39" s="32" t="s">
        <v>115</v>
      </c>
      <c r="F39" s="5" t="s">
        <v>114</v>
      </c>
      <c r="H39" s="5" t="str">
        <f>IF(D39="",CONCATENATE(C39,'Journal - Main'!D39),"")</f>
        <v/>
      </c>
      <c r="K39" s="12">
        <f>ROUND(_xlfn.NUMBERVALUE('Journal - Main'!G39),2)</f>
        <v>480.76</v>
      </c>
      <c r="L39" s="6"/>
      <c r="M39" s="6"/>
      <c r="N39" s="6"/>
      <c r="O39" s="6"/>
      <c r="P39" s="6"/>
      <c r="Q39" s="6"/>
      <c r="R39" s="5" t="str">
        <f>CONCATENATE(Input!$B$4," ",Input!$B$5," PAY ",TEXT(Input!$B$7,"DD/MM/YY"))</f>
        <v>VIC FN PAY 21/02/24</v>
      </c>
      <c r="S39" s="5" t="str">
        <f>'Journal - Main'!B39</f>
        <v>9710670</v>
      </c>
      <c r="W39" s="5" t="str">
        <f t="shared" si="2"/>
        <v>PayID 9710670 - 18.02.24 (C24501 - 01-01-05 Contra Operations Salaries</v>
      </c>
      <c r="X39" s="29" t="s">
        <v>148</v>
      </c>
    </row>
    <row r="40" spans="1:24" x14ac:dyDescent="0.3">
      <c r="A40" s="3">
        <f t="shared" si="1"/>
        <v>39</v>
      </c>
      <c r="B40" s="4" t="s">
        <v>219</v>
      </c>
      <c r="C40" s="3">
        <v>20</v>
      </c>
      <c r="D40" s="5" t="s">
        <v>125</v>
      </c>
      <c r="E40" s="32" t="s">
        <v>116</v>
      </c>
      <c r="F40" s="5" t="s">
        <v>114</v>
      </c>
      <c r="H40" s="5" t="str">
        <f>IF(D40="",CONCATENATE(C40,'Journal - Main'!D40),"")</f>
        <v/>
      </c>
      <c r="K40" s="12">
        <f>ROUND(_xlfn.NUMBERVALUE('Journal - Main'!G40),2)</f>
        <v>2038.48</v>
      </c>
      <c r="L40" s="6"/>
      <c r="M40" s="6"/>
      <c r="N40" s="6"/>
      <c r="O40" s="6"/>
      <c r="P40" s="6"/>
      <c r="Q40" s="6"/>
      <c r="R40" s="5" t="str">
        <f>CONCATENATE(Input!$B$4," ",Input!$B$5," PAY ",TEXT(Input!$B$7,"DD/MM/YY"))</f>
        <v>VIC FN PAY 21/02/24</v>
      </c>
      <c r="S40" s="5" t="str">
        <f>'Journal - Main'!B40</f>
        <v>9710670</v>
      </c>
      <c r="W40" s="5" t="str">
        <f t="shared" si="2"/>
        <v>PayID 9710670 - 18.02.24 (C24503 - 01-01-02 Projec Operations Salaries</v>
      </c>
      <c r="X40" s="29" t="s">
        <v>127</v>
      </c>
    </row>
    <row r="41" spans="1:24" x14ac:dyDescent="0.3">
      <c r="A41" s="3">
        <f t="shared" si="1"/>
        <v>40</v>
      </c>
      <c r="B41" s="4" t="s">
        <v>220</v>
      </c>
      <c r="C41" s="3">
        <v>20</v>
      </c>
      <c r="D41" s="5" t="s">
        <v>125</v>
      </c>
      <c r="E41" s="32" t="s">
        <v>115</v>
      </c>
      <c r="F41" s="5" t="s">
        <v>114</v>
      </c>
      <c r="H41" s="5" t="str">
        <f>IF(D41="",CONCATENATE(C41,'Journal - Main'!D41),"")</f>
        <v/>
      </c>
      <c r="K41" s="12">
        <f>ROUND(_xlfn.NUMBERVALUE('Journal - Main'!G41),2)</f>
        <v>4345.3900000000003</v>
      </c>
      <c r="L41" s="6"/>
      <c r="M41" s="6"/>
      <c r="N41" s="6"/>
      <c r="O41" s="6"/>
      <c r="P41" s="6"/>
      <c r="Q41" s="6"/>
      <c r="R41" s="5" t="str">
        <f>CONCATENATE(Input!$B$4," ",Input!$B$5," PAY ",TEXT(Input!$B$7,"DD/MM/YY"))</f>
        <v>VIC FN PAY 21/02/24</v>
      </c>
      <c r="S41" s="5" t="str">
        <f>'Journal - Main'!B41</f>
        <v>9710670</v>
      </c>
      <c r="W41" s="5" t="str">
        <f t="shared" si="2"/>
        <v>PayID 9710670 - 18.02.24 (C24503 - 01-01-05 Contra Operations Salaries</v>
      </c>
      <c r="X41" s="29" t="s">
        <v>129</v>
      </c>
    </row>
    <row r="42" spans="1:24" x14ac:dyDescent="0.3">
      <c r="A42" s="3">
        <f t="shared" si="1"/>
        <v>41</v>
      </c>
      <c r="B42" s="4" t="s">
        <v>221</v>
      </c>
      <c r="C42" s="3">
        <v>20</v>
      </c>
      <c r="D42" s="5" t="s">
        <v>125</v>
      </c>
      <c r="E42" s="32" t="s">
        <v>120</v>
      </c>
      <c r="F42" s="5" t="s">
        <v>114</v>
      </c>
      <c r="H42" s="5" t="str">
        <f>IF(D42="",CONCATENATE(C42,'Journal - Main'!D42),"")</f>
        <v/>
      </c>
      <c r="K42" s="12">
        <f>ROUND(_xlfn.NUMBERVALUE('Journal - Main'!G42),2)</f>
        <v>1031</v>
      </c>
      <c r="L42" s="6"/>
      <c r="M42" s="6"/>
      <c r="N42" s="6"/>
      <c r="O42" s="6"/>
      <c r="P42" s="6"/>
      <c r="Q42" s="6"/>
      <c r="R42" s="5" t="str">
        <f>CONCATENATE(Input!$B$4," ",Input!$B$5," PAY ",TEXT(Input!$B$7,"DD/MM/YY"))</f>
        <v>VIC FN PAY 21/02/24</v>
      </c>
      <c r="S42" s="5" t="str">
        <f>'Journal - Main'!B42</f>
        <v>9710670</v>
      </c>
      <c r="W42" s="5" t="str">
        <f t="shared" si="2"/>
        <v>PayID 9710670 - 18.02.24 (C24503 - 01-15-99 Yard E Operations Salaries</v>
      </c>
      <c r="X42" s="29" t="s">
        <v>153</v>
      </c>
    </row>
    <row r="43" spans="1:24" x14ac:dyDescent="0.3">
      <c r="A43" s="3">
        <f t="shared" si="1"/>
        <v>42</v>
      </c>
      <c r="B43" s="4" t="s">
        <v>222</v>
      </c>
      <c r="C43" s="3">
        <v>20</v>
      </c>
      <c r="D43" s="5" t="s">
        <v>245</v>
      </c>
      <c r="E43" s="32" t="s">
        <v>116</v>
      </c>
      <c r="F43" s="5" t="s">
        <v>114</v>
      </c>
      <c r="H43" s="5" t="str">
        <f>IF(D43="",CONCATENATE(C43,'Journal - Main'!D43),"")</f>
        <v/>
      </c>
      <c r="K43" s="12">
        <f>ROUND(_xlfn.NUMBERVALUE('Journal - Main'!G43),2)</f>
        <v>4210.75</v>
      </c>
      <c r="L43" s="6"/>
      <c r="M43" s="6"/>
      <c r="N43" s="6"/>
      <c r="O43" s="6"/>
      <c r="P43" s="6"/>
      <c r="Q43" s="6"/>
      <c r="R43" s="5" t="str">
        <f>CONCATENATE(Input!$B$4," ",Input!$B$5," PAY ",TEXT(Input!$B$7,"DD/MM/YY"))</f>
        <v>VIC FN PAY 21/02/24</v>
      </c>
      <c r="S43" s="5" t="str">
        <f>'Journal - Main'!B43</f>
        <v>9710670</v>
      </c>
      <c r="W43" s="5" t="str">
        <f t="shared" si="2"/>
        <v>PayID 9710670 - 18.02.24 (C24504 - 01-01-02 Projec Operations Salaries</v>
      </c>
      <c r="X43" s="29" t="s">
        <v>156</v>
      </c>
    </row>
    <row r="44" spans="1:24" x14ac:dyDescent="0.3">
      <c r="A44" s="3">
        <f t="shared" si="1"/>
        <v>43</v>
      </c>
      <c r="B44" s="4" t="s">
        <v>223</v>
      </c>
      <c r="C44" s="3">
        <v>20</v>
      </c>
      <c r="D44" s="5" t="s">
        <v>245</v>
      </c>
      <c r="E44" s="32" t="s">
        <v>115</v>
      </c>
      <c r="F44" s="5" t="s">
        <v>114</v>
      </c>
      <c r="H44" s="5" t="str">
        <f>IF(D44="",CONCATENATE(C44,'Journal - Main'!D44),"")</f>
        <v/>
      </c>
      <c r="K44" s="12">
        <f>ROUND(_xlfn.NUMBERVALUE('Journal - Main'!G44),2)</f>
        <v>2613.16</v>
      </c>
      <c r="L44" s="6"/>
      <c r="M44" s="6"/>
      <c r="N44" s="6"/>
      <c r="O44" s="6"/>
      <c r="P44" s="6"/>
      <c r="Q44" s="6"/>
      <c r="R44" s="5" t="str">
        <f>CONCATENATE(Input!$B$4," ",Input!$B$5," PAY ",TEXT(Input!$B$7,"DD/MM/YY"))</f>
        <v>VIC FN PAY 21/02/24</v>
      </c>
      <c r="S44" s="5" t="str">
        <f>'Journal - Main'!B44</f>
        <v>9710670</v>
      </c>
      <c r="W44" s="5" t="str">
        <f t="shared" si="2"/>
        <v>PayID 9710670 - 18.02.24 (C24504 - 01-01-05 Contra Operations Salaries</v>
      </c>
      <c r="X44" s="29" t="s">
        <v>159</v>
      </c>
    </row>
    <row r="45" spans="1:24" x14ac:dyDescent="0.3">
      <c r="A45" s="3">
        <f t="shared" si="1"/>
        <v>44</v>
      </c>
      <c r="B45" s="4" t="s">
        <v>224</v>
      </c>
      <c r="C45" s="3">
        <v>20</v>
      </c>
      <c r="D45" s="5" t="s">
        <v>245</v>
      </c>
      <c r="E45" s="32" t="s">
        <v>119</v>
      </c>
      <c r="F45" s="5" t="s">
        <v>114</v>
      </c>
      <c r="H45" s="5" t="str">
        <f>IF(D45="",CONCATENATE(C45,'Journal - Main'!D45),"")</f>
        <v/>
      </c>
      <c r="K45" s="12">
        <f>ROUND(_xlfn.NUMBERVALUE('Journal - Main'!G45),2)</f>
        <v>538.46</v>
      </c>
      <c r="L45" s="6"/>
      <c r="M45" s="6"/>
      <c r="N45" s="6"/>
      <c r="O45" s="6"/>
      <c r="P45" s="6"/>
      <c r="Q45" s="6"/>
      <c r="R45" s="5" t="str">
        <f>CONCATENATE(Input!$B$4," ",Input!$B$5," PAY ",TEXT(Input!$B$7,"DD/MM/YY"))</f>
        <v>VIC FN PAY 21/02/24</v>
      </c>
      <c r="S45" s="5" t="str">
        <f>'Journal - Main'!B45</f>
        <v>9710670</v>
      </c>
      <c r="W45" s="5" t="str">
        <f t="shared" si="2"/>
        <v>PayID 9710670 - 18.02.24 (C24504 - 01-01-13 Site O Operations Salaries</v>
      </c>
      <c r="X45" s="29" t="s">
        <v>162</v>
      </c>
    </row>
    <row r="46" spans="1:24" x14ac:dyDescent="0.3">
      <c r="A46" s="3">
        <f t="shared" si="1"/>
        <v>45</v>
      </c>
      <c r="B46" s="4" t="s">
        <v>225</v>
      </c>
      <c r="C46" s="3">
        <v>20</v>
      </c>
      <c r="D46" s="5" t="s">
        <v>245</v>
      </c>
      <c r="E46" s="32" t="s">
        <v>121</v>
      </c>
      <c r="F46" s="5" t="s">
        <v>114</v>
      </c>
      <c r="H46" s="5" t="str">
        <f>IF(D46="",CONCATENATE(C46,'Journal - Main'!D46),"")</f>
        <v/>
      </c>
      <c r="K46" s="12">
        <f>ROUND(_xlfn.NUMBERVALUE('Journal - Main'!G46),2)</f>
        <v>9964.81</v>
      </c>
      <c r="L46" s="6"/>
      <c r="M46" s="6"/>
      <c r="N46" s="6"/>
      <c r="O46" s="6"/>
      <c r="P46" s="6"/>
      <c r="Q46" s="6"/>
      <c r="R46" s="5" t="str">
        <f>CONCATENATE(Input!$B$4," ",Input!$B$5," PAY ",TEXT(Input!$B$7,"DD/MM/YY"))</f>
        <v>VIC FN PAY 21/02/24</v>
      </c>
      <c r="S46" s="5" t="str">
        <f>'Journal - Main'!B46</f>
        <v>9710670</v>
      </c>
      <c r="W46" s="5" t="str">
        <f t="shared" si="2"/>
        <v>PayID 9710670 - 18.02.24 (C24504 - 01-02-03 Site M Operations Salaries</v>
      </c>
      <c r="X46" s="29" t="s">
        <v>165</v>
      </c>
    </row>
    <row r="47" spans="1:24" x14ac:dyDescent="0.3">
      <c r="A47" s="3">
        <f t="shared" si="1"/>
        <v>46</v>
      </c>
      <c r="B47" s="4" t="s">
        <v>226</v>
      </c>
      <c r="C47" s="3">
        <v>10</v>
      </c>
      <c r="D47" s="5" t="s">
        <v>247</v>
      </c>
      <c r="E47" s="32" t="s">
        <v>246</v>
      </c>
      <c r="F47" s="5" t="s">
        <v>114</v>
      </c>
      <c r="H47" s="5" t="str">
        <f>IF(D47="",CONCATENATE(C47,'Journal - Main'!D47),"")</f>
        <v/>
      </c>
      <c r="K47" s="12">
        <f>ROUND(_xlfn.NUMBERVALUE('Journal - Main'!G47),2)</f>
        <v>975.68</v>
      </c>
      <c r="L47" s="6"/>
      <c r="M47" s="6"/>
      <c r="N47" s="6"/>
      <c r="O47" s="6"/>
      <c r="P47" s="6"/>
      <c r="Q47" s="6"/>
      <c r="R47" s="5" t="str">
        <f>CONCATENATE(Input!$B$4," ",Input!$B$5," PAY ",TEXT(Input!$B$7,"DD/MM/YY"))</f>
        <v>VIC FN PAY 21/02/24</v>
      </c>
      <c r="S47" s="5" t="str">
        <f>'Journal - Main'!B47</f>
        <v>9710670</v>
      </c>
      <c r="W47" s="5" t="str">
        <f t="shared" si="2"/>
        <v>PayID 9710670 - 18.02.24 (D24001 - 01-02-09 Whseq  Operations Salaries</v>
      </c>
      <c r="X47" s="29" t="s">
        <v>168</v>
      </c>
    </row>
    <row r="48" spans="1:24" x14ac:dyDescent="0.3">
      <c r="A48" s="3">
        <f t="shared" si="1"/>
        <v>47</v>
      </c>
      <c r="B48" s="4" t="s">
        <v>227</v>
      </c>
      <c r="C48" s="3">
        <v>20</v>
      </c>
      <c r="D48" s="5" t="s">
        <v>248</v>
      </c>
      <c r="E48" s="32" t="s">
        <v>246</v>
      </c>
      <c r="F48" s="5" t="s">
        <v>114</v>
      </c>
      <c r="H48" s="5" t="str">
        <f>IF(D48="",CONCATENATE(C48,'Journal - Main'!D48),"")</f>
        <v/>
      </c>
      <c r="K48" s="12">
        <f>ROUND(_xlfn.NUMBERVALUE('Journal - Main'!G48),2)</f>
        <v>3921.1</v>
      </c>
      <c r="L48" s="6"/>
      <c r="M48" s="6"/>
      <c r="N48" s="6"/>
      <c r="O48" s="6"/>
      <c r="P48" s="6"/>
      <c r="Q48" s="6"/>
      <c r="R48" s="5" t="str">
        <f>CONCATENATE(Input!$B$4," ",Input!$B$5," PAY ",TEXT(Input!$B$7,"DD/MM/YY"))</f>
        <v>VIC FN PAY 21/02/24</v>
      </c>
      <c r="S48" s="5" t="str">
        <f>'Journal - Main'!B48</f>
        <v>9710670</v>
      </c>
      <c r="W48" s="5" t="str">
        <f t="shared" si="2"/>
        <v>PayID 9710670 - 18.02.24 (D24501 - 01-02-09 Whseq  Operations Salaries</v>
      </c>
      <c r="X48" s="29" t="s">
        <v>171</v>
      </c>
    </row>
    <row r="49" spans="1:24" x14ac:dyDescent="0.3">
      <c r="A49" s="3">
        <f t="shared" si="1"/>
        <v>48</v>
      </c>
      <c r="B49" s="4" t="s">
        <v>228</v>
      </c>
      <c r="C49" s="3">
        <v>20</v>
      </c>
      <c r="D49" s="5" t="s">
        <v>130</v>
      </c>
      <c r="E49" s="32" t="s">
        <v>121</v>
      </c>
      <c r="F49" s="5" t="s">
        <v>114</v>
      </c>
      <c r="H49" s="5" t="str">
        <f>IF(D49="",CONCATENATE(C49,'Journal - Main'!D49),"")</f>
        <v/>
      </c>
      <c r="K49" s="12">
        <f>ROUND(_xlfn.NUMBERVALUE('Journal - Main'!G49),2)</f>
        <v>469.18</v>
      </c>
      <c r="L49" s="6"/>
      <c r="M49" s="6"/>
      <c r="N49" s="6"/>
      <c r="O49" s="6"/>
      <c r="P49" s="6"/>
      <c r="Q49" s="6"/>
      <c r="R49" s="5" t="str">
        <f>CONCATENATE(Input!$B$4," ",Input!$B$5," PAY ",TEXT(Input!$B$7,"DD/MM/YY"))</f>
        <v>VIC FN PAY 21/02/24</v>
      </c>
      <c r="S49" s="5" t="str">
        <f>'Journal - Main'!B49</f>
        <v>9710670</v>
      </c>
      <c r="W49" s="5" t="str">
        <f t="shared" si="2"/>
        <v>PayID 9710670 - 18.02.24 (C24505 - 01-02-03 Site M Operations Salaries</v>
      </c>
      <c r="X49" s="29" t="s">
        <v>174</v>
      </c>
    </row>
    <row r="50" spans="1:24" x14ac:dyDescent="0.3">
      <c r="A50" s="3">
        <f t="shared" si="1"/>
        <v>49</v>
      </c>
      <c r="B50" s="4" t="s">
        <v>229</v>
      </c>
      <c r="C50" s="3">
        <v>20</v>
      </c>
      <c r="D50" s="5" t="s">
        <v>249</v>
      </c>
      <c r="E50" s="32" t="s">
        <v>116</v>
      </c>
      <c r="F50" s="5" t="s">
        <v>114</v>
      </c>
      <c r="H50" s="5" t="str">
        <f>IF(D50="",CONCATENATE(C50,'Journal - Main'!D50),"")</f>
        <v/>
      </c>
      <c r="K50" s="12">
        <f>ROUND(_xlfn.NUMBERVALUE('Journal - Main'!G50),2)</f>
        <v>1547.32</v>
      </c>
      <c r="L50" s="6"/>
      <c r="M50" s="6"/>
      <c r="N50" s="6"/>
      <c r="O50" s="6"/>
      <c r="P50" s="6"/>
      <c r="Q50" s="6"/>
      <c r="R50" s="5" t="str">
        <f>CONCATENATE(Input!$B$4," ",Input!$B$5," PAY ",TEXT(Input!$B$7,"DD/MM/YY"))</f>
        <v>VIC FN PAY 21/02/24</v>
      </c>
      <c r="S50" s="5" t="str">
        <f>'Journal - Main'!B50</f>
        <v>9710670</v>
      </c>
      <c r="W50" s="5" t="str">
        <f t="shared" si="2"/>
        <v>PayID 9710670 - 18.02.24 (C24506 - 01-01-02 Projec Operations Salaries</v>
      </c>
      <c r="X50" s="29" t="s">
        <v>177</v>
      </c>
    </row>
    <row r="51" spans="1:24" x14ac:dyDescent="0.3">
      <c r="A51" s="3">
        <f t="shared" si="1"/>
        <v>50</v>
      </c>
      <c r="B51" s="4" t="s">
        <v>230</v>
      </c>
      <c r="C51" s="3">
        <v>20</v>
      </c>
      <c r="D51" s="5" t="s">
        <v>249</v>
      </c>
      <c r="E51" s="32" t="s">
        <v>115</v>
      </c>
      <c r="F51" s="5" t="s">
        <v>114</v>
      </c>
      <c r="H51" s="5" t="str">
        <f>IF(D51="",CONCATENATE(C51,'Journal - Main'!D51),"")</f>
        <v/>
      </c>
      <c r="K51" s="12">
        <f>ROUND(_xlfn.NUMBERVALUE('Journal - Main'!G51),2)</f>
        <v>2710.78</v>
      </c>
      <c r="L51" s="6"/>
      <c r="M51" s="6"/>
      <c r="N51" s="6"/>
      <c r="O51" s="6"/>
      <c r="P51" s="6"/>
      <c r="Q51" s="6"/>
      <c r="R51" s="5" t="str">
        <f>CONCATENATE(Input!$B$4," ",Input!$B$5," PAY ",TEXT(Input!$B$7,"DD/MM/YY"))</f>
        <v>VIC FN PAY 21/02/24</v>
      </c>
      <c r="S51" s="5" t="str">
        <f>'Journal - Main'!B51</f>
        <v>9710670</v>
      </c>
      <c r="W51" s="5" t="str">
        <f t="shared" si="2"/>
        <v>PayID 9710670 - 18.02.24 (C24506 - 01-01-05 Contra Operations Salaries</v>
      </c>
      <c r="X51" s="29" t="s">
        <v>180</v>
      </c>
    </row>
    <row r="52" spans="1:24" x14ac:dyDescent="0.3">
      <c r="A52" s="3">
        <f t="shared" si="1"/>
        <v>51</v>
      </c>
      <c r="B52" s="4" t="s">
        <v>231</v>
      </c>
      <c r="C52" s="3">
        <v>20</v>
      </c>
      <c r="D52" s="5" t="s">
        <v>249</v>
      </c>
      <c r="E52" s="32" t="s">
        <v>121</v>
      </c>
      <c r="F52" s="5" t="s">
        <v>114</v>
      </c>
      <c r="H52" s="5" t="str">
        <f>IF(D52="",CONCATENATE(C52,'Journal - Main'!D52),"")</f>
        <v/>
      </c>
      <c r="K52" s="12">
        <f>ROUND(_xlfn.NUMBERVALUE('Journal - Main'!G52),2)</f>
        <v>7026.89</v>
      </c>
      <c r="L52" s="6"/>
      <c r="M52" s="6"/>
      <c r="N52" s="6"/>
      <c r="O52" s="6"/>
      <c r="P52" s="6"/>
      <c r="Q52" s="6"/>
      <c r="R52" s="5" t="str">
        <f>CONCATENATE(Input!$B$4," ",Input!$B$5," PAY ",TEXT(Input!$B$7,"DD/MM/YY"))</f>
        <v>VIC FN PAY 21/02/24</v>
      </c>
      <c r="S52" s="5" t="str">
        <f>'Journal - Main'!B52</f>
        <v>9710670</v>
      </c>
      <c r="W52" s="5" t="str">
        <f t="shared" si="2"/>
        <v>PayID 9710670 - 18.02.24 (C24506 - 01-02-03 Site M Operations Salaries</v>
      </c>
      <c r="X52" s="29" t="s">
        <v>183</v>
      </c>
    </row>
    <row r="53" spans="1:24" x14ac:dyDescent="0.3">
      <c r="A53" s="3">
        <f t="shared" si="1"/>
        <v>52</v>
      </c>
      <c r="B53" s="4" t="s">
        <v>232</v>
      </c>
      <c r="C53" s="3">
        <v>20</v>
      </c>
      <c r="D53" s="5" t="s">
        <v>250</v>
      </c>
      <c r="E53" s="32" t="s">
        <v>120</v>
      </c>
      <c r="F53" s="5" t="s">
        <v>114</v>
      </c>
      <c r="H53" s="5" t="str">
        <f>IF(D53="",CONCATENATE(C53,'Journal - Main'!D53),"")</f>
        <v/>
      </c>
      <c r="K53" s="12">
        <f>ROUND(_xlfn.NUMBERVALUE('Journal - Main'!G53),2)</f>
        <v>376.58</v>
      </c>
      <c r="L53" s="6"/>
      <c r="M53" s="6"/>
      <c r="N53" s="6"/>
      <c r="O53" s="6"/>
      <c r="P53" s="6"/>
      <c r="Q53" s="6"/>
      <c r="R53" s="5" t="str">
        <f>CONCATENATE(Input!$B$4," ",Input!$B$5," PAY ",TEXT(Input!$B$7,"DD/MM/YY"))</f>
        <v>VIC FN PAY 21/02/24</v>
      </c>
      <c r="S53" s="5" t="str">
        <f>'Journal - Main'!B53</f>
        <v>9710670</v>
      </c>
      <c r="W53" s="5" t="str">
        <f t="shared" si="2"/>
        <v>PayID 9710670 - 18.02.24 (C24507 - 01-15-99 Yard E Operations Salaries</v>
      </c>
      <c r="X53" s="29" t="s">
        <v>186</v>
      </c>
    </row>
    <row r="54" spans="1:24" x14ac:dyDescent="0.3">
      <c r="A54" s="3">
        <f t="shared" si="1"/>
        <v>53</v>
      </c>
      <c r="B54" s="4" t="s">
        <v>233</v>
      </c>
      <c r="C54" s="3">
        <v>20</v>
      </c>
      <c r="D54" s="5" t="s">
        <v>251</v>
      </c>
      <c r="E54" s="32" t="s">
        <v>119</v>
      </c>
      <c r="F54" s="5" t="s">
        <v>114</v>
      </c>
      <c r="H54" s="5" t="str">
        <f>IF(D54="",CONCATENATE(C54,'Journal - Main'!D54),"")</f>
        <v/>
      </c>
      <c r="K54" s="12">
        <f>ROUND(_xlfn.NUMBERVALUE('Journal - Main'!G54),2)</f>
        <v>519.23</v>
      </c>
      <c r="L54" s="6"/>
      <c r="M54" s="6"/>
      <c r="N54" s="6"/>
      <c r="O54" s="6"/>
      <c r="P54" s="6"/>
      <c r="Q54" s="6"/>
      <c r="R54" s="5" t="str">
        <f>CONCATENATE(Input!$B$4," ",Input!$B$5," PAY ",TEXT(Input!$B$7,"DD/MM/YY"))</f>
        <v>VIC FN PAY 21/02/24</v>
      </c>
      <c r="S54" s="5" t="str">
        <f>'Journal - Main'!B54</f>
        <v>9710670</v>
      </c>
      <c r="W54" s="5" t="str">
        <f t="shared" si="2"/>
        <v>PayID 9710670 - 18.02.24 (C24511 - 01-01-13 Site O Operations Salaries</v>
      </c>
      <c r="X54" s="29" t="s">
        <v>189</v>
      </c>
    </row>
    <row r="55" spans="1:24" x14ac:dyDescent="0.3">
      <c r="A55" s="3">
        <f t="shared" si="1"/>
        <v>54</v>
      </c>
      <c r="B55" s="4" t="s">
        <v>234</v>
      </c>
      <c r="C55" s="3">
        <v>20</v>
      </c>
      <c r="D55" s="5" t="s">
        <v>251</v>
      </c>
      <c r="E55" s="32" t="s">
        <v>121</v>
      </c>
      <c r="F55" s="5" t="s">
        <v>114</v>
      </c>
      <c r="H55" s="5" t="str">
        <f>IF(D55="",CONCATENATE(C55,'Journal - Main'!D55),"")</f>
        <v/>
      </c>
      <c r="K55" s="12">
        <f>ROUND(_xlfn.NUMBERVALUE('Journal - Main'!G55),2)</f>
        <v>1038.46</v>
      </c>
      <c r="L55" s="6"/>
      <c r="M55" s="6"/>
      <c r="N55" s="6"/>
      <c r="O55" s="6"/>
      <c r="P55" s="6"/>
      <c r="Q55" s="6"/>
      <c r="R55" s="5" t="str">
        <f>CONCATENATE(Input!$B$4," ",Input!$B$5," PAY ",TEXT(Input!$B$7,"DD/MM/YY"))</f>
        <v>VIC FN PAY 21/02/24</v>
      </c>
      <c r="S55" s="5" t="str">
        <f>'Journal - Main'!B55</f>
        <v>9710670</v>
      </c>
      <c r="W55" s="5" t="str">
        <f t="shared" si="2"/>
        <v>PayID 9710670 - 18.02.24 (C24511 - 01-02-03 Site M Operations Salaries</v>
      </c>
      <c r="X55" s="29" t="s">
        <v>192</v>
      </c>
    </row>
    <row r="56" spans="1:24" x14ac:dyDescent="0.3">
      <c r="A56" s="3">
        <f t="shared" si="1"/>
        <v>55</v>
      </c>
      <c r="B56" s="4" t="s">
        <v>235</v>
      </c>
      <c r="C56" s="3">
        <v>20</v>
      </c>
      <c r="D56" s="5" t="s">
        <v>252</v>
      </c>
      <c r="E56" s="32" t="s">
        <v>116</v>
      </c>
      <c r="F56" s="5" t="s">
        <v>114</v>
      </c>
      <c r="H56" s="5" t="str">
        <f>IF(D56="",CONCATENATE(C56,'Journal - Main'!D56),"")</f>
        <v/>
      </c>
      <c r="K56" s="12">
        <f>ROUND(_xlfn.NUMBERVALUE('Journal - Main'!G56),2)</f>
        <v>1528.83</v>
      </c>
      <c r="L56" s="6"/>
      <c r="M56" s="6"/>
      <c r="N56" s="6"/>
      <c r="O56" s="6"/>
      <c r="P56" s="6"/>
      <c r="Q56" s="6"/>
      <c r="R56" s="5" t="str">
        <f>CONCATENATE(Input!$B$4," ",Input!$B$5," PAY ",TEXT(Input!$B$7,"DD/MM/YY"))</f>
        <v>VIC FN PAY 21/02/24</v>
      </c>
      <c r="S56" s="5" t="str">
        <f>'Journal - Main'!B56</f>
        <v>9710670</v>
      </c>
      <c r="W56" s="5" t="str">
        <f t="shared" si="2"/>
        <v>PayID 9710670 - 18.02.24 (C24512 - 01-01-02 Projec Operations Salaries</v>
      </c>
      <c r="X56" s="29" t="s">
        <v>195</v>
      </c>
    </row>
    <row r="57" spans="1:24" x14ac:dyDescent="0.3">
      <c r="A57" s="3">
        <f t="shared" si="1"/>
        <v>56</v>
      </c>
      <c r="B57" s="4" t="s">
        <v>236</v>
      </c>
      <c r="C57" s="3">
        <v>20</v>
      </c>
      <c r="D57" s="5" t="s">
        <v>252</v>
      </c>
      <c r="E57" s="32" t="s">
        <v>115</v>
      </c>
      <c r="F57" s="5" t="s">
        <v>114</v>
      </c>
      <c r="H57" s="5" t="str">
        <f>IF(D57="",CONCATENATE(C57,'Journal - Main'!D57),"")</f>
        <v/>
      </c>
      <c r="K57" s="12">
        <f>ROUND(_xlfn.NUMBERVALUE('Journal - Main'!G57),2)</f>
        <v>2631.65</v>
      </c>
      <c r="L57" s="6"/>
      <c r="M57" s="6"/>
      <c r="N57" s="6"/>
      <c r="O57" s="6"/>
      <c r="P57" s="6"/>
      <c r="Q57" s="6"/>
      <c r="R57" s="5" t="str">
        <f>CONCATENATE(Input!$B$4," ",Input!$B$5," PAY ",TEXT(Input!$B$7,"DD/MM/YY"))</f>
        <v>VIC FN PAY 21/02/24</v>
      </c>
      <c r="S57" s="5" t="str">
        <f>'Journal - Main'!B57</f>
        <v>9710670</v>
      </c>
      <c r="W57" s="5" t="str">
        <f t="shared" si="2"/>
        <v>PayID 9710670 - 18.02.24 (C24512 - 01-01-05 Contra Operations Salaries</v>
      </c>
      <c r="X57" s="29" t="s">
        <v>198</v>
      </c>
    </row>
    <row r="58" spans="1:24" x14ac:dyDescent="0.3">
      <c r="A58" s="3">
        <f t="shared" si="1"/>
        <v>57</v>
      </c>
      <c r="B58" s="4" t="s">
        <v>237</v>
      </c>
      <c r="C58" s="3">
        <v>20</v>
      </c>
      <c r="D58" s="5" t="s">
        <v>252</v>
      </c>
      <c r="E58" s="32" t="s">
        <v>121</v>
      </c>
      <c r="F58" s="5" t="s">
        <v>114</v>
      </c>
      <c r="H58" s="5" t="str">
        <f>IF(D58="",CONCATENATE(C58,'Journal - Main'!D58),"")</f>
        <v/>
      </c>
      <c r="K58" s="12">
        <f>ROUND(_xlfn.NUMBERVALUE('Journal - Main'!G58),2)</f>
        <v>5870.51</v>
      </c>
      <c r="L58" s="6"/>
      <c r="M58" s="6"/>
      <c r="N58" s="6"/>
      <c r="O58" s="6"/>
      <c r="P58" s="6"/>
      <c r="Q58" s="6"/>
      <c r="R58" s="5" t="str">
        <f>CONCATENATE(Input!$B$4," ",Input!$B$5," PAY ",TEXT(Input!$B$7,"DD/MM/YY"))</f>
        <v>VIC FN PAY 21/02/24</v>
      </c>
      <c r="S58" s="5" t="str">
        <f>'Journal - Main'!B58</f>
        <v>9710670</v>
      </c>
      <c r="W58" s="5" t="str">
        <f t="shared" si="2"/>
        <v>PayID 9710670 - 18.02.24 (C24512 - 01-02-03 Site M Operations Salaries</v>
      </c>
      <c r="X58" s="29" t="s">
        <v>201</v>
      </c>
    </row>
    <row r="59" spans="1:24" x14ac:dyDescent="0.3">
      <c r="A59" s="3">
        <f t="shared" si="1"/>
        <v>58</v>
      </c>
      <c r="B59" s="4" t="s">
        <v>238</v>
      </c>
      <c r="C59" s="3">
        <v>20</v>
      </c>
      <c r="D59" s="5" t="s">
        <v>254</v>
      </c>
      <c r="E59" s="32" t="s">
        <v>253</v>
      </c>
      <c r="F59" s="5" t="s">
        <v>114</v>
      </c>
      <c r="H59" s="5" t="str">
        <f>IF(D59="",CONCATENATE(C59,'Journal - Main'!D59),"")</f>
        <v/>
      </c>
      <c r="K59" s="12">
        <f>ROUND(_xlfn.NUMBERVALUE('Journal - Main'!G59),2)</f>
        <v>1153.8399999999999</v>
      </c>
      <c r="L59" s="6"/>
      <c r="M59" s="6"/>
      <c r="N59" s="6"/>
      <c r="O59" s="6"/>
      <c r="P59" s="6"/>
      <c r="Q59" s="6"/>
      <c r="R59" s="5" t="str">
        <f>CONCATENATE(Input!$B$4," ",Input!$B$5," PAY ",TEXT(Input!$B$7,"DD/MM/YY"))</f>
        <v>VIC FN PAY 21/02/24</v>
      </c>
      <c r="S59" s="5" t="str">
        <f>'Journal - Main'!B59</f>
        <v>9710670</v>
      </c>
      <c r="W59" s="5" t="str">
        <f t="shared" si="2"/>
        <v>PayID 9710670 - 18.02.24 (C24508 - 511 Officeworks Operations Salaries</v>
      </c>
      <c r="X59" s="29" t="s">
        <v>204</v>
      </c>
    </row>
    <row r="60" spans="1:24" x14ac:dyDescent="0.3">
      <c r="A60" s="3">
        <f t="shared" si="1"/>
        <v>59</v>
      </c>
      <c r="B60" s="4" t="s">
        <v>239</v>
      </c>
      <c r="C60" s="3">
        <f>IF(AND(ISNUMBER(MATCH('Journal - Main'!$E60,Lookups!$K$5:$K$16,0))=FALSE,OR(MID('Journal - Main'!N60,4,1)="C",MID('Journal - Main'!N60,4,1)="D")),LEFT('Journal - Main'!N60,2),Input!$B$6)</f>
        <v>20</v>
      </c>
      <c r="E60" s="32" t="s">
        <v>102</v>
      </c>
      <c r="H60" s="5" t="str">
        <f>IF(D60="",CONCATENATE(C60,'Journal - Main'!D60),"")</f>
        <v>209505</v>
      </c>
      <c r="K60" s="12">
        <f>ROUND(_xlfn.NUMBERVALUE('Journal - Main'!G60),2)</f>
        <v>3952.05</v>
      </c>
      <c r="L60" s="6"/>
      <c r="M60" s="6"/>
      <c r="N60" s="6"/>
      <c r="O60" s="6"/>
      <c r="P60" s="6"/>
      <c r="Q60" s="6"/>
      <c r="R60" s="5" t="str">
        <f>CONCATENATE(Input!$B$4," ",Input!$B$5," PAY ",TEXT(Input!$B$7,"DD/MM/YY"))</f>
        <v>VIC FN PAY 21/02/24</v>
      </c>
      <c r="S60" s="5" t="str">
        <f>'Journal - Main'!B60</f>
        <v>9710670</v>
      </c>
      <c r="W60" s="5" t="str">
        <f t="shared" si="2"/>
        <v>PayID 9710670 - 18.02.24 (Estimating - VIC - PBV) Estimating Salaries</v>
      </c>
      <c r="X60" s="29" t="s">
        <v>124</v>
      </c>
    </row>
    <row r="61" spans="1:24" x14ac:dyDescent="0.3">
      <c r="A61" s="3">
        <f t="shared" si="1"/>
        <v>60</v>
      </c>
      <c r="B61" s="4" t="s">
        <v>240</v>
      </c>
      <c r="C61" s="3">
        <f>IF(AND(ISNUMBER(MATCH('Journal - Main'!$E61,Lookups!$K$5:$K$16,0))=FALSE,OR(MID('Journal - Main'!N61,4,1)="C",MID('Journal - Main'!N61,4,1)="D")),LEFT('Journal - Main'!N61,2),Input!$B$6)</f>
        <v>20</v>
      </c>
      <c r="E61" s="32" t="s">
        <v>102</v>
      </c>
      <c r="H61" s="5" t="str">
        <f>IF(D61="",CONCATENATE(C61,'Journal - Main'!D61),"")</f>
        <v>209504</v>
      </c>
      <c r="K61" s="12">
        <f>ROUND(_xlfn.NUMBERVALUE('Journal - Main'!G61),2)</f>
        <v>3104.53</v>
      </c>
      <c r="L61" s="6"/>
      <c r="M61" s="6"/>
      <c r="N61" s="6"/>
      <c r="O61" s="6"/>
      <c r="P61" s="6"/>
      <c r="Q61" s="6"/>
      <c r="R61" s="5" t="str">
        <f>CONCATENATE(Input!$B$4," ",Input!$B$5," PAY ",TEXT(Input!$B$7,"DD/MM/YY"))</f>
        <v>VIC FN PAY 21/02/24</v>
      </c>
      <c r="S61" s="5" t="str">
        <f>'Journal - Main'!B61</f>
        <v>9710670</v>
      </c>
      <c r="W61" s="5" t="str">
        <f t="shared" si="2"/>
        <v>PayID 9710670 - 18.02.24 (Admin - VIC - PBV) Salaries - Admin</v>
      </c>
      <c r="X61" s="29" t="s">
        <v>208</v>
      </c>
    </row>
    <row r="62" spans="1:24" x14ac:dyDescent="0.3">
      <c r="A62" s="3">
        <f t="shared" si="1"/>
        <v>61</v>
      </c>
      <c r="B62" s="4" t="s">
        <v>241</v>
      </c>
      <c r="C62" s="3">
        <f>IF(AND(ISNUMBER(MATCH('Journal - Main'!$E62,Lookups!$K$5:$K$16,0))=FALSE,OR(MID('Journal - Main'!N62,4,1)="C",MID('Journal - Main'!N62,4,1)="D")),LEFT('Journal - Main'!N62,2),Input!$B$6)</f>
        <v>20</v>
      </c>
      <c r="E62" s="32" t="s">
        <v>102</v>
      </c>
      <c r="H62" s="5" t="str">
        <f>IF(D62="",CONCATENATE(C62,'Journal - Main'!D62),"")</f>
        <v>203204</v>
      </c>
      <c r="K62" s="12">
        <f>ROUND(_xlfn.NUMBERVALUE('Journal - Main'!G62),2)</f>
        <v>-545.37</v>
      </c>
      <c r="L62" s="6"/>
      <c r="M62" s="6"/>
      <c r="N62" s="6"/>
      <c r="O62" s="6"/>
      <c r="P62" s="6"/>
      <c r="Q62" s="6"/>
      <c r="R62" s="5" t="str">
        <f>CONCATENATE(Input!$B$4," ",Input!$B$5," PAY ",TEXT(Input!$B$7,"DD/MM/YY"))</f>
        <v>VIC FN PAY 21/02/24</v>
      </c>
      <c r="S62" s="5" t="str">
        <f>'Journal - Main'!B62</f>
        <v>9710670</v>
      </c>
      <c r="W62" s="5" t="str">
        <f t="shared" si="2"/>
        <v>PayID 9710670 - 18.02.24 () Superannuation Clearing</v>
      </c>
    </row>
    <row r="63" spans="1:24" x14ac:dyDescent="0.3">
      <c r="A63" s="3">
        <f t="shared" si="1"/>
        <v>62</v>
      </c>
      <c r="B63" s="4" t="s">
        <v>100</v>
      </c>
      <c r="C63" s="3">
        <f>IF(AND(ISNUMBER(MATCH('Journal - Main'!$E63,Lookups!$K$5:$K$16,0))=FALSE,OR(MID('Journal - Main'!N63,4,1)="C",MID('Journal - Main'!N63,4,1)="D")),LEFT('Journal - Main'!N63,2),Input!$B$6)</f>
        <v>20</v>
      </c>
      <c r="E63" s="32" t="s">
        <v>102</v>
      </c>
      <c r="H63" s="5" t="str">
        <f>IF(D63="",CONCATENATE(C63,'Journal - Main'!D63),"")</f>
        <v>20</v>
      </c>
      <c r="K63" s="12">
        <f>ROUND(_xlfn.NUMBERVALUE('Journal - Main'!G63),2)</f>
        <v>0</v>
      </c>
      <c r="L63" s="6"/>
      <c r="M63" s="6"/>
      <c r="N63" s="6"/>
      <c r="O63" s="6"/>
      <c r="P63" s="6"/>
      <c r="Q63" s="6"/>
      <c r="R63" s="5" t="str">
        <f>CONCATENATE(Input!$B$4," ",Input!$B$5," PAY ",TEXT(Input!$B$7,"DD/MM/YY"))</f>
        <v>VIC FN PAY 21/02/24</v>
      </c>
      <c r="S63" s="5">
        <f>'Journal - Main'!B63</f>
        <v>0</v>
      </c>
      <c r="W63" s="5" t="str">
        <f t="shared" si="2"/>
        <v xml:space="preserve"> </v>
      </c>
    </row>
    <row r="64" spans="1:24" x14ac:dyDescent="0.3">
      <c r="A64" s="3">
        <f t="shared" si="1"/>
        <v>63</v>
      </c>
      <c r="B64" s="4" t="s">
        <v>100</v>
      </c>
      <c r="C64" s="3">
        <f>IF(AND(ISNUMBER(MATCH('Journal - Main'!$E64,Lookups!$K$5:$K$16,0))=FALSE,OR(MID('Journal - Main'!N64,4,1)="C",MID('Journal - Main'!N64,4,1)="D")),LEFT('Journal - Main'!N64,2),Input!$B$6)</f>
        <v>20</v>
      </c>
      <c r="E64" s="32" t="s">
        <v>102</v>
      </c>
      <c r="H64" s="5" t="str">
        <f>IF(D64="",CONCATENATE(C64,'Journal - Main'!D64),"")</f>
        <v>20</v>
      </c>
      <c r="K64" s="12">
        <f>ROUND(_xlfn.NUMBERVALUE('Journal - Main'!G64),2)</f>
        <v>0</v>
      </c>
      <c r="L64" s="6"/>
      <c r="M64" s="6"/>
      <c r="N64" s="6"/>
      <c r="O64" s="6"/>
      <c r="P64" s="6"/>
      <c r="Q64" s="6"/>
      <c r="R64" s="5" t="str">
        <f>CONCATENATE(Input!$B$4," ",Input!$B$5," PAY ",TEXT(Input!$B$7,"DD/MM/YY"))</f>
        <v>VIC FN PAY 21/02/24</v>
      </c>
      <c r="S64" s="5">
        <f>'Journal - Main'!B64</f>
        <v>0</v>
      </c>
      <c r="W64" s="5" t="str">
        <f t="shared" si="2"/>
        <v xml:space="preserve"> </v>
      </c>
    </row>
    <row r="65" spans="1:23" x14ac:dyDescent="0.3">
      <c r="A65" s="3">
        <f t="shared" si="1"/>
        <v>64</v>
      </c>
      <c r="B65" s="4" t="s">
        <v>100</v>
      </c>
      <c r="C65" s="3">
        <f>IF(AND(ISNUMBER(MATCH('Journal - Main'!$E65,Lookups!$K$5:$K$16,0))=FALSE,OR(MID('Journal - Main'!N65,4,1)="C",MID('Journal - Main'!N65,4,1)="D")),LEFT('Journal - Main'!N65,2),Input!$B$6)</f>
        <v>20</v>
      </c>
      <c r="E65" s="32" t="s">
        <v>102</v>
      </c>
      <c r="H65" s="5" t="str">
        <f>IF(D65="",CONCATENATE(C65,'Journal - Main'!D65),"")</f>
        <v>20</v>
      </c>
      <c r="K65" s="12">
        <f>ROUND(_xlfn.NUMBERVALUE('Journal - Main'!G65),2)</f>
        <v>0</v>
      </c>
      <c r="L65" s="6"/>
      <c r="M65" s="6"/>
      <c r="N65" s="6"/>
      <c r="O65" s="6"/>
      <c r="P65" s="6"/>
      <c r="Q65" s="6"/>
      <c r="R65" s="5" t="str">
        <f>CONCATENATE(Input!$B$4," ",Input!$B$5," PAY ",TEXT(Input!$B$7,"DD/MM/YY"))</f>
        <v>VIC FN PAY 21/02/24</v>
      </c>
      <c r="S65" s="5">
        <f>'Journal - Main'!B65</f>
        <v>0</v>
      </c>
      <c r="W65" s="5" t="str">
        <f t="shared" si="2"/>
        <v xml:space="preserve"> </v>
      </c>
    </row>
    <row r="66" spans="1:23" x14ac:dyDescent="0.3">
      <c r="A66" s="3">
        <f t="shared" si="1"/>
        <v>65</v>
      </c>
      <c r="B66" s="4" t="s">
        <v>100</v>
      </c>
      <c r="C66" s="3">
        <f>IF(AND(ISNUMBER(MATCH('Journal - Main'!$E66,Lookups!$K$5:$K$16,0))=FALSE,OR(MID('Journal - Main'!N66,4,1)="C",MID('Journal - Main'!N66,4,1)="D")),LEFT('Journal - Main'!N66,2),Input!$B$6)</f>
        <v>20</v>
      </c>
      <c r="E66" s="32" t="s">
        <v>102</v>
      </c>
      <c r="H66" s="5" t="str">
        <f>IF(D66="",CONCATENATE(C66,'Journal - Main'!D66),"")</f>
        <v>20</v>
      </c>
      <c r="K66" s="12">
        <f>ROUND(_xlfn.NUMBERVALUE('Journal - Main'!G66),2)</f>
        <v>0</v>
      </c>
      <c r="L66" s="6"/>
      <c r="M66" s="6"/>
      <c r="N66" s="6"/>
      <c r="O66" s="6"/>
      <c r="P66" s="6"/>
      <c r="Q66" s="6"/>
      <c r="R66" s="5" t="str">
        <f>CONCATENATE(Input!$B$4," ",Input!$B$5," PAY ",TEXT(Input!$B$7,"DD/MM/YY"))</f>
        <v>VIC FN PAY 21/02/24</v>
      </c>
      <c r="S66" s="5">
        <f>'Journal - Main'!B66</f>
        <v>0</v>
      </c>
      <c r="W66" s="5" t="str">
        <f t="shared" si="2"/>
        <v xml:space="preserve"> </v>
      </c>
    </row>
    <row r="67" spans="1:23" x14ac:dyDescent="0.3">
      <c r="A67" s="3">
        <f t="shared" si="1"/>
        <v>66</v>
      </c>
      <c r="B67" s="4" t="s">
        <v>100</v>
      </c>
      <c r="C67" s="3">
        <f>IF(AND(ISNUMBER(MATCH('Journal - Main'!$E67,Lookups!$K$5:$K$16,0))=FALSE,OR(MID('Journal - Main'!N67,4,1)="C",MID('Journal - Main'!N67,4,1)="D")),LEFT('Journal - Main'!N67,2),Input!$B$6)</f>
        <v>20</v>
      </c>
      <c r="E67" s="32" t="s">
        <v>102</v>
      </c>
      <c r="H67" s="5" t="str">
        <f>IF(D67="",CONCATENATE(C67,'Journal - Main'!D67),"")</f>
        <v>20</v>
      </c>
      <c r="K67" s="12">
        <f>ROUND(_xlfn.NUMBERVALUE('Journal - Main'!G67),2)</f>
        <v>0</v>
      </c>
      <c r="L67" s="6"/>
      <c r="M67" s="6"/>
      <c r="N67" s="6"/>
      <c r="O67" s="6"/>
      <c r="P67" s="6"/>
      <c r="Q67" s="6"/>
      <c r="R67" s="5" t="str">
        <f>CONCATENATE(Input!$B$4," ",Input!$B$5," PAY ",TEXT(Input!$B$7,"DD/MM/YY"))</f>
        <v>VIC FN PAY 21/02/24</v>
      </c>
      <c r="S67" s="5">
        <f>'Journal - Main'!B67</f>
        <v>0</v>
      </c>
      <c r="W67" s="5" t="str">
        <f t="shared" si="2"/>
        <v xml:space="preserve"> </v>
      </c>
    </row>
    <row r="68" spans="1:23" x14ac:dyDescent="0.3">
      <c r="A68" s="3">
        <f t="shared" ref="A68:A131" si="3">+A67+1</f>
        <v>67</v>
      </c>
      <c r="B68" s="4" t="s">
        <v>100</v>
      </c>
      <c r="C68" s="3">
        <f>IF(AND(ISNUMBER(MATCH('Journal - Main'!$E68,Lookups!$K$5:$K$16,0))=FALSE,OR(MID('Journal - Main'!N68,4,1)="C",MID('Journal - Main'!N68,4,1)="D")),LEFT('Journal - Main'!N68,2),Input!$B$6)</f>
        <v>20</v>
      </c>
      <c r="E68" s="32" t="s">
        <v>102</v>
      </c>
      <c r="H68" s="5" t="str">
        <f>IF(D68="",CONCATENATE(C68,'Journal - Main'!D68),"")</f>
        <v>20</v>
      </c>
      <c r="K68" s="12">
        <f>ROUND(_xlfn.NUMBERVALUE('Journal - Main'!G68),2)</f>
        <v>0</v>
      </c>
      <c r="L68" s="6"/>
      <c r="M68" s="6"/>
      <c r="N68" s="6"/>
      <c r="O68" s="6"/>
      <c r="P68" s="6"/>
      <c r="Q68" s="6"/>
      <c r="R68" s="5" t="str">
        <f>CONCATENATE(Input!$B$4," ",Input!$B$5," PAY ",TEXT(Input!$B$7,"DD/MM/YY"))</f>
        <v>VIC FN PAY 21/02/24</v>
      </c>
      <c r="S68" s="5">
        <f>'Journal - Main'!B68</f>
        <v>0</v>
      </c>
      <c r="W68" s="5" t="str">
        <f t="shared" ref="W68:W131" si="4">B68</f>
        <v xml:space="preserve"> </v>
      </c>
    </row>
    <row r="69" spans="1:23" x14ac:dyDescent="0.3">
      <c r="A69" s="3">
        <f t="shared" si="3"/>
        <v>68</v>
      </c>
      <c r="B69" s="4" t="s">
        <v>100</v>
      </c>
      <c r="C69" s="3">
        <f>IF(AND(ISNUMBER(MATCH('Journal - Main'!$E69,Lookups!$K$5:$K$16,0))=FALSE,OR(MID('Journal - Main'!N69,4,1)="C",MID('Journal - Main'!N69,4,1)="D")),LEFT('Journal - Main'!N69,2),Input!$B$6)</f>
        <v>20</v>
      </c>
      <c r="E69" s="32" t="s">
        <v>102</v>
      </c>
      <c r="H69" s="5" t="str">
        <f>IF(D69="",CONCATENATE(C69,'Journal - Main'!D69),"")</f>
        <v>20</v>
      </c>
      <c r="K69" s="12">
        <f>ROUND(_xlfn.NUMBERVALUE('Journal - Main'!G69),2)</f>
        <v>0</v>
      </c>
      <c r="L69" s="6"/>
      <c r="M69" s="6"/>
      <c r="N69" s="6"/>
      <c r="O69" s="6"/>
      <c r="P69" s="6"/>
      <c r="Q69" s="6"/>
      <c r="R69" s="5" t="str">
        <f>CONCATENATE(Input!$B$4," ",Input!$B$5," PAY ",TEXT(Input!$B$7,"DD/MM/YY"))</f>
        <v>VIC FN PAY 21/02/24</v>
      </c>
      <c r="S69" s="5">
        <f>'Journal - Main'!B69</f>
        <v>0</v>
      </c>
      <c r="W69" s="5" t="str">
        <f t="shared" si="4"/>
        <v xml:space="preserve"> </v>
      </c>
    </row>
    <row r="70" spans="1:23" x14ac:dyDescent="0.3">
      <c r="A70" s="3">
        <f t="shared" si="3"/>
        <v>69</v>
      </c>
      <c r="B70" s="4" t="s">
        <v>100</v>
      </c>
      <c r="C70" s="3">
        <f>IF(AND(ISNUMBER(MATCH('Journal - Main'!$E70,Lookups!$K$5:$K$16,0))=FALSE,OR(MID('Journal - Main'!N70,4,1)="C",MID('Journal - Main'!N70,4,1)="D")),LEFT('Journal - Main'!N70,2),Input!$B$6)</f>
        <v>20</v>
      </c>
      <c r="E70" s="32" t="s">
        <v>102</v>
      </c>
      <c r="H70" s="5" t="str">
        <f>IF(D70="",CONCATENATE(C70,'Journal - Main'!D70),"")</f>
        <v>20</v>
      </c>
      <c r="K70" s="12">
        <f>ROUND(_xlfn.NUMBERVALUE('Journal - Main'!G70),2)</f>
        <v>0</v>
      </c>
      <c r="L70" s="6"/>
      <c r="M70" s="6"/>
      <c r="N70" s="6"/>
      <c r="O70" s="6"/>
      <c r="P70" s="6"/>
      <c r="Q70" s="6"/>
      <c r="R70" s="5" t="str">
        <f>CONCATENATE(Input!$B$4," ",Input!$B$5," PAY ",TEXT(Input!$B$7,"DD/MM/YY"))</f>
        <v>VIC FN PAY 21/02/24</v>
      </c>
      <c r="S70" s="5">
        <f>'Journal - Main'!B70</f>
        <v>0</v>
      </c>
      <c r="W70" s="5" t="str">
        <f t="shared" si="4"/>
        <v xml:space="preserve"> </v>
      </c>
    </row>
    <row r="71" spans="1:23" x14ac:dyDescent="0.3">
      <c r="A71" s="3">
        <f t="shared" si="3"/>
        <v>70</v>
      </c>
      <c r="B71" s="4" t="s">
        <v>100</v>
      </c>
      <c r="C71" s="3">
        <f>IF(AND(ISNUMBER(MATCH('Journal - Main'!$E71,Lookups!$K$5:$K$16,0))=FALSE,OR(MID('Journal - Main'!N71,4,1)="C",MID('Journal - Main'!N71,4,1)="D")),LEFT('Journal - Main'!N71,2),Input!$B$6)</f>
        <v>20</v>
      </c>
      <c r="E71" s="32" t="s">
        <v>102</v>
      </c>
      <c r="H71" s="5" t="str">
        <f>IF(D71="",CONCATENATE(C71,'Journal - Main'!D71),"")</f>
        <v>20</v>
      </c>
      <c r="K71" s="12">
        <f>ROUND(_xlfn.NUMBERVALUE('Journal - Main'!G71),2)</f>
        <v>0</v>
      </c>
      <c r="L71" s="6"/>
      <c r="M71" s="6"/>
      <c r="N71" s="6"/>
      <c r="O71" s="6"/>
      <c r="P71" s="6"/>
      <c r="Q71" s="6"/>
      <c r="R71" s="5" t="str">
        <f>CONCATENATE(Input!$B$4," ",Input!$B$5," PAY ",TEXT(Input!$B$7,"DD/MM/YY"))</f>
        <v>VIC FN PAY 21/02/24</v>
      </c>
      <c r="S71" s="5">
        <f>'Journal - Main'!B71</f>
        <v>0</v>
      </c>
      <c r="W71" s="5" t="str">
        <f t="shared" si="4"/>
        <v xml:space="preserve"> </v>
      </c>
    </row>
    <row r="72" spans="1:23" x14ac:dyDescent="0.3">
      <c r="A72" s="3">
        <f t="shared" si="3"/>
        <v>71</v>
      </c>
      <c r="B72" s="4" t="s">
        <v>100</v>
      </c>
      <c r="C72" s="3">
        <f>IF(AND(ISNUMBER(MATCH('Journal - Main'!$E72,Lookups!$K$5:$K$16,0))=FALSE,OR(MID('Journal - Main'!N72,4,1)="C",MID('Journal - Main'!N72,4,1)="D")),LEFT('Journal - Main'!N72,2),Input!$B$6)</f>
        <v>20</v>
      </c>
      <c r="E72" s="32" t="s">
        <v>102</v>
      </c>
      <c r="H72" s="5" t="str">
        <f>IF(D72="",CONCATENATE(C72,'Journal - Main'!D72),"")</f>
        <v>20</v>
      </c>
      <c r="K72" s="12">
        <f>ROUND(_xlfn.NUMBERVALUE('Journal - Main'!G72),2)</f>
        <v>0</v>
      </c>
      <c r="L72" s="6"/>
      <c r="M72" s="6"/>
      <c r="N72" s="6"/>
      <c r="O72" s="6"/>
      <c r="P72" s="6"/>
      <c r="Q72" s="6"/>
      <c r="R72" s="5" t="str">
        <f>CONCATENATE(Input!$B$4," ",Input!$B$5," PAY ",TEXT(Input!$B$7,"DD/MM/YY"))</f>
        <v>VIC FN PAY 21/02/24</v>
      </c>
      <c r="S72" s="5">
        <f>'Journal - Main'!B72</f>
        <v>0</v>
      </c>
      <c r="W72" s="5" t="str">
        <f t="shared" si="4"/>
        <v xml:space="preserve"> </v>
      </c>
    </row>
    <row r="73" spans="1:23" x14ac:dyDescent="0.3">
      <c r="A73" s="3">
        <f t="shared" si="3"/>
        <v>72</v>
      </c>
      <c r="B73" s="4" t="s">
        <v>100</v>
      </c>
      <c r="C73" s="3">
        <f>IF(AND(ISNUMBER(MATCH('Journal - Main'!$E73,Lookups!$K$5:$K$16,0))=FALSE,OR(MID('Journal - Main'!N73,4,1)="C",MID('Journal - Main'!N73,4,1)="D")),LEFT('Journal - Main'!N73,2),Input!$B$6)</f>
        <v>20</v>
      </c>
      <c r="E73" s="32" t="s">
        <v>102</v>
      </c>
      <c r="H73" s="5" t="str">
        <f>IF(D73="",CONCATENATE(C73,'Journal - Main'!D73),"")</f>
        <v>20</v>
      </c>
      <c r="K73" s="12">
        <f>ROUND(_xlfn.NUMBERVALUE('Journal - Main'!G73),2)</f>
        <v>0</v>
      </c>
      <c r="L73" s="6"/>
      <c r="M73" s="6"/>
      <c r="N73" s="6"/>
      <c r="O73" s="6"/>
      <c r="P73" s="6"/>
      <c r="Q73" s="6"/>
      <c r="R73" s="5" t="str">
        <f>CONCATENATE(Input!$B$4," ",Input!$B$5," PAY ",TEXT(Input!$B$7,"DD/MM/YY"))</f>
        <v>VIC FN PAY 21/02/24</v>
      </c>
      <c r="S73" s="5">
        <f>'Journal - Main'!B73</f>
        <v>0</v>
      </c>
      <c r="W73" s="5" t="str">
        <f t="shared" si="4"/>
        <v xml:space="preserve"> </v>
      </c>
    </row>
    <row r="74" spans="1:23" x14ac:dyDescent="0.3">
      <c r="A74" s="3">
        <f t="shared" si="3"/>
        <v>73</v>
      </c>
      <c r="B74" s="4" t="s">
        <v>100</v>
      </c>
      <c r="C74" s="3">
        <f>IF(AND(ISNUMBER(MATCH('Journal - Main'!$E74,Lookups!$K$5:$K$16,0))=FALSE,OR(MID('Journal - Main'!N74,4,1)="C",MID('Journal - Main'!N74,4,1)="D")),LEFT('Journal - Main'!N74,2),Input!$B$6)</f>
        <v>20</v>
      </c>
      <c r="E74" s="32" t="s">
        <v>102</v>
      </c>
      <c r="H74" s="5" t="str">
        <f>IF(D74="",CONCATENATE(C74,'Journal - Main'!D74),"")</f>
        <v>20</v>
      </c>
      <c r="K74" s="12">
        <f>ROUND(_xlfn.NUMBERVALUE('Journal - Main'!G74),2)</f>
        <v>0</v>
      </c>
      <c r="L74" s="6"/>
      <c r="M74" s="6"/>
      <c r="N74" s="6"/>
      <c r="O74" s="6"/>
      <c r="P74" s="6"/>
      <c r="Q74" s="6"/>
      <c r="R74" s="5" t="str">
        <f>CONCATENATE(Input!$B$4," ",Input!$B$5," PAY ",TEXT(Input!$B$7,"DD/MM/YY"))</f>
        <v>VIC FN PAY 21/02/24</v>
      </c>
      <c r="S74" s="5">
        <f>'Journal - Main'!B74</f>
        <v>0</v>
      </c>
      <c r="W74" s="5" t="str">
        <f t="shared" si="4"/>
        <v xml:space="preserve"> </v>
      </c>
    </row>
    <row r="75" spans="1:23" x14ac:dyDescent="0.3">
      <c r="A75" s="3">
        <f t="shared" si="3"/>
        <v>74</v>
      </c>
      <c r="B75" s="4" t="s">
        <v>100</v>
      </c>
      <c r="C75" s="3">
        <f>IF(AND(ISNUMBER(MATCH('Journal - Main'!$E75,Lookups!$K$5:$K$16,0))=FALSE,OR(MID('Journal - Main'!N75,4,1)="C",MID('Journal - Main'!N75,4,1)="D")),LEFT('Journal - Main'!N75,2),Input!$B$6)</f>
        <v>20</v>
      </c>
      <c r="E75" s="32" t="s">
        <v>102</v>
      </c>
      <c r="H75" s="5" t="str">
        <f>IF(D75="",CONCATENATE(C75,'Journal - Main'!D75),"")</f>
        <v>20</v>
      </c>
      <c r="K75" s="12">
        <f>ROUND(_xlfn.NUMBERVALUE('Journal - Main'!G75),2)</f>
        <v>0</v>
      </c>
      <c r="L75" s="6"/>
      <c r="M75" s="6"/>
      <c r="N75" s="6"/>
      <c r="O75" s="6"/>
      <c r="P75" s="6"/>
      <c r="Q75" s="6"/>
      <c r="R75" s="5" t="str">
        <f>CONCATENATE(Input!$B$4," ",Input!$B$5," PAY ",TEXT(Input!$B$7,"DD/MM/YY"))</f>
        <v>VIC FN PAY 21/02/24</v>
      </c>
      <c r="S75" s="5">
        <f>'Journal - Main'!B75</f>
        <v>0</v>
      </c>
      <c r="W75" s="5" t="str">
        <f t="shared" si="4"/>
        <v xml:space="preserve"> </v>
      </c>
    </row>
    <row r="76" spans="1:23" x14ac:dyDescent="0.3">
      <c r="A76" s="3">
        <f t="shared" si="3"/>
        <v>75</v>
      </c>
      <c r="B76" s="4" t="s">
        <v>100</v>
      </c>
      <c r="C76" s="3">
        <f>IF(AND(ISNUMBER(MATCH('Journal - Main'!$E76,Lookups!$K$5:$K$16,0))=FALSE,OR(MID('Journal - Main'!N76,4,1)="C",MID('Journal - Main'!N76,4,1)="D")),LEFT('Journal - Main'!N76,2),Input!$B$6)</f>
        <v>20</v>
      </c>
      <c r="E76" s="32" t="s">
        <v>102</v>
      </c>
      <c r="H76" s="5" t="str">
        <f>IF(D76="",CONCATENATE(C76,'Journal - Main'!D76),"")</f>
        <v>20</v>
      </c>
      <c r="K76" s="12">
        <f>ROUND(_xlfn.NUMBERVALUE('Journal - Main'!G76),2)</f>
        <v>0</v>
      </c>
      <c r="L76" s="6"/>
      <c r="M76" s="6"/>
      <c r="N76" s="6"/>
      <c r="O76" s="6"/>
      <c r="P76" s="6"/>
      <c r="Q76" s="6"/>
      <c r="R76" s="5" t="str">
        <f>CONCATENATE(Input!$B$4," ",Input!$B$5," PAY ",TEXT(Input!$B$7,"DD/MM/YY"))</f>
        <v>VIC FN PAY 21/02/24</v>
      </c>
      <c r="S76" s="5">
        <f>'Journal - Main'!B76</f>
        <v>0</v>
      </c>
      <c r="W76" s="5" t="str">
        <f t="shared" si="4"/>
        <v xml:space="preserve"> </v>
      </c>
    </row>
    <row r="77" spans="1:23" x14ac:dyDescent="0.3">
      <c r="A77" s="3">
        <f t="shared" si="3"/>
        <v>76</v>
      </c>
      <c r="B77" s="4" t="s">
        <v>100</v>
      </c>
      <c r="C77" s="3">
        <f>IF(AND(ISNUMBER(MATCH('Journal - Main'!$E77,Lookups!$K$5:$K$16,0))=FALSE,OR(MID('Journal - Main'!N77,4,1)="C",MID('Journal - Main'!N77,4,1)="D")),LEFT('Journal - Main'!N77,2),Input!$B$6)</f>
        <v>20</v>
      </c>
      <c r="E77" s="32" t="s">
        <v>102</v>
      </c>
      <c r="H77" s="5" t="str">
        <f>IF(D77="",CONCATENATE(C77,'Journal - Main'!D77),"")</f>
        <v>20</v>
      </c>
      <c r="K77" s="12">
        <f>ROUND(_xlfn.NUMBERVALUE('Journal - Main'!G77),2)</f>
        <v>0</v>
      </c>
      <c r="L77" s="6"/>
      <c r="M77" s="6"/>
      <c r="N77" s="6"/>
      <c r="O77" s="6"/>
      <c r="P77" s="6"/>
      <c r="Q77" s="6"/>
      <c r="R77" s="5" t="str">
        <f>CONCATENATE(Input!$B$4," ",Input!$B$5," PAY ",TEXT(Input!$B$7,"DD/MM/YY"))</f>
        <v>VIC FN PAY 21/02/24</v>
      </c>
      <c r="S77" s="5">
        <f>'Journal - Main'!B77</f>
        <v>0</v>
      </c>
      <c r="W77" s="5" t="str">
        <f t="shared" si="4"/>
        <v xml:space="preserve"> </v>
      </c>
    </row>
    <row r="78" spans="1:23" x14ac:dyDescent="0.3">
      <c r="A78" s="3">
        <f t="shared" si="3"/>
        <v>77</v>
      </c>
      <c r="B78" s="4" t="s">
        <v>100</v>
      </c>
      <c r="C78" s="3">
        <f>IF(AND(ISNUMBER(MATCH('Journal - Main'!$E78,Lookups!$K$5:$K$16,0))=FALSE,OR(MID('Journal - Main'!N78,4,1)="C",MID('Journal - Main'!N78,4,1)="D")),LEFT('Journal - Main'!N78,2),Input!$B$6)</f>
        <v>20</v>
      </c>
      <c r="E78" s="32" t="s">
        <v>102</v>
      </c>
      <c r="H78" s="5" t="str">
        <f>IF(D78="",CONCATENATE(C78,'Journal - Main'!D78),"")</f>
        <v>20</v>
      </c>
      <c r="K78" s="12">
        <f>ROUND(_xlfn.NUMBERVALUE('Journal - Main'!G78),2)</f>
        <v>0</v>
      </c>
      <c r="L78" s="6"/>
      <c r="M78" s="6"/>
      <c r="N78" s="6"/>
      <c r="O78" s="6"/>
      <c r="P78" s="6"/>
      <c r="Q78" s="6"/>
      <c r="R78" s="5" t="str">
        <f>CONCATENATE(Input!$B$4," ",Input!$B$5," PAY ",TEXT(Input!$B$7,"DD/MM/YY"))</f>
        <v>VIC FN PAY 21/02/24</v>
      </c>
      <c r="S78" s="5">
        <f>'Journal - Main'!B78</f>
        <v>0</v>
      </c>
      <c r="W78" s="5" t="str">
        <f t="shared" si="4"/>
        <v xml:space="preserve"> </v>
      </c>
    </row>
    <row r="79" spans="1:23" x14ac:dyDescent="0.3">
      <c r="A79" s="3">
        <f t="shared" si="3"/>
        <v>78</v>
      </c>
      <c r="B79" s="4" t="s">
        <v>100</v>
      </c>
      <c r="C79" s="3">
        <f>IF(AND(ISNUMBER(MATCH('Journal - Main'!$E79,Lookups!$K$5:$K$16,0))=FALSE,OR(MID('Journal - Main'!N79,4,1)="C",MID('Journal - Main'!N79,4,1)="D")),LEFT('Journal - Main'!N79,2),Input!$B$6)</f>
        <v>20</v>
      </c>
      <c r="E79" s="32" t="s">
        <v>102</v>
      </c>
      <c r="H79" s="5" t="str">
        <f>IF(D79="",CONCATENATE(C79,'Journal - Main'!D79),"")</f>
        <v>20</v>
      </c>
      <c r="K79" s="12">
        <f>ROUND(_xlfn.NUMBERVALUE('Journal - Main'!G79),2)</f>
        <v>0</v>
      </c>
      <c r="L79" s="6"/>
      <c r="M79" s="6"/>
      <c r="N79" s="6"/>
      <c r="O79" s="6"/>
      <c r="P79" s="6"/>
      <c r="Q79" s="6"/>
      <c r="R79" s="5" t="str">
        <f>CONCATENATE(Input!$B$4," ",Input!$B$5," PAY ",TEXT(Input!$B$7,"DD/MM/YY"))</f>
        <v>VIC FN PAY 21/02/24</v>
      </c>
      <c r="S79" s="5">
        <f>'Journal - Main'!B79</f>
        <v>0</v>
      </c>
      <c r="W79" s="5" t="str">
        <f t="shared" si="4"/>
        <v xml:space="preserve"> </v>
      </c>
    </row>
    <row r="80" spans="1:23" x14ac:dyDescent="0.3">
      <c r="A80" s="3">
        <f t="shared" si="3"/>
        <v>79</v>
      </c>
      <c r="B80" s="4" t="s">
        <v>100</v>
      </c>
      <c r="C80" s="3">
        <f>IF(AND(ISNUMBER(MATCH('Journal - Main'!$E80,Lookups!$K$5:$K$16,0))=FALSE,OR(MID('Journal - Main'!N80,4,1)="C",MID('Journal - Main'!N80,4,1)="D")),LEFT('Journal - Main'!N80,2),Input!$B$6)</f>
        <v>20</v>
      </c>
      <c r="E80" s="32" t="s">
        <v>102</v>
      </c>
      <c r="H80" s="5" t="str">
        <f>IF(D80="",CONCATENATE(C80,'Journal - Main'!D80),"")</f>
        <v>20</v>
      </c>
      <c r="K80" s="12">
        <f>ROUND(_xlfn.NUMBERVALUE('Journal - Main'!G80),2)</f>
        <v>0</v>
      </c>
      <c r="L80" s="6"/>
      <c r="M80" s="6"/>
      <c r="N80" s="6"/>
      <c r="O80" s="6"/>
      <c r="P80" s="6"/>
      <c r="Q80" s="6"/>
      <c r="R80" s="5" t="str">
        <f>CONCATENATE(Input!$B$4," ",Input!$B$5," PAY ",TEXT(Input!$B$7,"DD/MM/YY"))</f>
        <v>VIC FN PAY 21/02/24</v>
      </c>
      <c r="S80" s="5">
        <f>'Journal - Main'!B80</f>
        <v>0</v>
      </c>
      <c r="W80" s="5" t="str">
        <f t="shared" si="4"/>
        <v xml:space="preserve"> </v>
      </c>
    </row>
    <row r="81" spans="1:23" x14ac:dyDescent="0.3">
      <c r="A81" s="3">
        <f t="shared" si="3"/>
        <v>80</v>
      </c>
      <c r="B81" s="4" t="s">
        <v>100</v>
      </c>
      <c r="C81" s="3">
        <f>IF(AND(ISNUMBER(MATCH('Journal - Main'!$E81,Lookups!$K$5:$K$16,0))=FALSE,OR(MID('Journal - Main'!N81,4,1)="C",MID('Journal - Main'!N81,4,1)="D")),LEFT('Journal - Main'!N81,2),Input!$B$6)</f>
        <v>20</v>
      </c>
      <c r="E81" s="32" t="s">
        <v>102</v>
      </c>
      <c r="H81" s="5" t="str">
        <f>IF(D81="",CONCATENATE(C81,'Journal - Main'!D81),"")</f>
        <v>20</v>
      </c>
      <c r="K81" s="12">
        <f>ROUND(_xlfn.NUMBERVALUE('Journal - Main'!G81),2)</f>
        <v>0</v>
      </c>
      <c r="L81" s="6"/>
      <c r="M81" s="6"/>
      <c r="N81" s="6"/>
      <c r="O81" s="6"/>
      <c r="P81" s="6"/>
      <c r="Q81" s="6"/>
      <c r="R81" s="5" t="str">
        <f>CONCATENATE(Input!$B$4," ",Input!$B$5," PAY ",TEXT(Input!$B$7,"DD/MM/YY"))</f>
        <v>VIC FN PAY 21/02/24</v>
      </c>
      <c r="S81" s="5">
        <f>'Journal - Main'!B81</f>
        <v>0</v>
      </c>
      <c r="W81" s="5" t="str">
        <f t="shared" si="4"/>
        <v xml:space="preserve"> </v>
      </c>
    </row>
    <row r="82" spans="1:23" x14ac:dyDescent="0.3">
      <c r="A82" s="3">
        <f t="shared" si="3"/>
        <v>81</v>
      </c>
      <c r="B82" s="4" t="s">
        <v>100</v>
      </c>
      <c r="C82" s="3">
        <f>IF(AND(ISNUMBER(MATCH('Journal - Main'!$E82,Lookups!$K$5:$K$16,0))=FALSE,OR(MID('Journal - Main'!N82,4,1)="C",MID('Journal - Main'!N82,4,1)="D")),LEFT('Journal - Main'!N82,2),Input!$B$6)</f>
        <v>20</v>
      </c>
      <c r="E82" s="32" t="s">
        <v>102</v>
      </c>
      <c r="H82" s="5" t="str">
        <f>IF(D82="",CONCATENATE(C82,'Journal - Main'!D82),"")</f>
        <v>20</v>
      </c>
      <c r="K82" s="12">
        <f>ROUND(_xlfn.NUMBERVALUE('Journal - Main'!G82),2)</f>
        <v>0</v>
      </c>
      <c r="L82" s="6"/>
      <c r="M82" s="6"/>
      <c r="N82" s="6"/>
      <c r="O82" s="6"/>
      <c r="P82" s="6"/>
      <c r="Q82" s="6"/>
      <c r="R82" s="5" t="str">
        <f>CONCATENATE(Input!$B$4," ",Input!$B$5," PAY ",TEXT(Input!$B$7,"DD/MM/YY"))</f>
        <v>VIC FN PAY 21/02/24</v>
      </c>
      <c r="S82" s="5">
        <f>'Journal - Main'!B82</f>
        <v>0</v>
      </c>
      <c r="W82" s="5" t="str">
        <f t="shared" si="4"/>
        <v xml:space="preserve"> </v>
      </c>
    </row>
    <row r="83" spans="1:23" x14ac:dyDescent="0.3">
      <c r="A83" s="3">
        <f t="shared" si="3"/>
        <v>82</v>
      </c>
      <c r="B83" s="4" t="s">
        <v>100</v>
      </c>
      <c r="C83" s="3">
        <f>IF(AND(ISNUMBER(MATCH('Journal - Main'!$E83,Lookups!$K$5:$K$16,0))=FALSE,OR(MID('Journal - Main'!N83,4,1)="C",MID('Journal - Main'!N83,4,1)="D")),LEFT('Journal - Main'!N83,2),Input!$B$6)</f>
        <v>20</v>
      </c>
      <c r="E83" s="32" t="s">
        <v>102</v>
      </c>
      <c r="H83" s="5" t="str">
        <f>IF(D83="",CONCATENATE(C83,'Journal - Main'!D83),"")</f>
        <v>20</v>
      </c>
      <c r="K83" s="12">
        <f>ROUND(_xlfn.NUMBERVALUE('Journal - Main'!G83),2)</f>
        <v>0</v>
      </c>
      <c r="L83" s="6"/>
      <c r="M83" s="6"/>
      <c r="N83" s="6"/>
      <c r="O83" s="6"/>
      <c r="P83" s="6"/>
      <c r="Q83" s="6"/>
      <c r="R83" s="5" t="str">
        <f>CONCATENATE(Input!$B$4," ",Input!$B$5," PAY ",TEXT(Input!$B$7,"DD/MM/YY"))</f>
        <v>VIC FN PAY 21/02/24</v>
      </c>
      <c r="S83" s="5">
        <f>'Journal - Main'!B83</f>
        <v>0</v>
      </c>
      <c r="W83" s="5" t="str">
        <f t="shared" si="4"/>
        <v xml:space="preserve"> </v>
      </c>
    </row>
    <row r="84" spans="1:23" x14ac:dyDescent="0.3">
      <c r="A84" s="3">
        <f t="shared" si="3"/>
        <v>83</v>
      </c>
      <c r="B84" s="4" t="s">
        <v>100</v>
      </c>
      <c r="C84" s="3">
        <f>IF(AND(ISNUMBER(MATCH('Journal - Main'!$E84,Lookups!$K$5:$K$16,0))=FALSE,OR(MID('Journal - Main'!N84,4,1)="C",MID('Journal - Main'!N84,4,1)="D")),LEFT('Journal - Main'!N84,2),Input!$B$6)</f>
        <v>20</v>
      </c>
      <c r="E84" s="32" t="s">
        <v>102</v>
      </c>
      <c r="H84" s="5" t="str">
        <f>IF(D84="",CONCATENATE(C84,'Journal - Main'!D84),"")</f>
        <v>20</v>
      </c>
      <c r="K84" s="12">
        <f>ROUND(_xlfn.NUMBERVALUE('Journal - Main'!G84),2)</f>
        <v>0</v>
      </c>
      <c r="L84" s="6"/>
      <c r="M84" s="6"/>
      <c r="N84" s="6"/>
      <c r="O84" s="6"/>
      <c r="P84" s="6"/>
      <c r="Q84" s="6"/>
      <c r="R84" s="5" t="str">
        <f>CONCATENATE(Input!$B$4," ",Input!$B$5," PAY ",TEXT(Input!$B$7,"DD/MM/YY"))</f>
        <v>VIC FN PAY 21/02/24</v>
      </c>
      <c r="S84" s="5">
        <f>'Journal - Main'!B84</f>
        <v>0</v>
      </c>
      <c r="W84" s="5" t="str">
        <f t="shared" si="4"/>
        <v xml:space="preserve"> </v>
      </c>
    </row>
    <row r="85" spans="1:23" x14ac:dyDescent="0.3">
      <c r="A85" s="3">
        <f t="shared" si="3"/>
        <v>84</v>
      </c>
      <c r="B85" s="4" t="s">
        <v>100</v>
      </c>
      <c r="C85" s="3">
        <f>IF(AND(ISNUMBER(MATCH('Journal - Main'!$E85,Lookups!$K$5:$K$16,0))=FALSE,OR(MID('Journal - Main'!N85,4,1)="C",MID('Journal - Main'!N85,4,1)="D")),LEFT('Journal - Main'!N85,2),Input!$B$6)</f>
        <v>20</v>
      </c>
      <c r="E85" s="32" t="s">
        <v>102</v>
      </c>
      <c r="H85" s="5" t="str">
        <f>IF(D85="",CONCATENATE(C85,'Journal - Main'!D85),"")</f>
        <v>20</v>
      </c>
      <c r="K85" s="12">
        <f>ROUND(_xlfn.NUMBERVALUE('Journal - Main'!G85),2)</f>
        <v>0</v>
      </c>
      <c r="L85" s="6"/>
      <c r="M85" s="6"/>
      <c r="N85" s="6"/>
      <c r="O85" s="6"/>
      <c r="P85" s="6"/>
      <c r="Q85" s="6"/>
      <c r="R85" s="5" t="str">
        <f>CONCATENATE(Input!$B$4," ",Input!$B$5," PAY ",TEXT(Input!$B$7,"DD/MM/YY"))</f>
        <v>VIC FN PAY 21/02/24</v>
      </c>
      <c r="S85" s="5">
        <f>'Journal - Main'!B85</f>
        <v>0</v>
      </c>
      <c r="W85" s="5" t="str">
        <f t="shared" si="4"/>
        <v xml:space="preserve"> </v>
      </c>
    </row>
    <row r="86" spans="1:23" x14ac:dyDescent="0.3">
      <c r="A86" s="3">
        <f t="shared" si="3"/>
        <v>85</v>
      </c>
      <c r="B86" s="4" t="s">
        <v>100</v>
      </c>
      <c r="C86" s="3">
        <f>IF(AND(ISNUMBER(MATCH('Journal - Main'!$E86,Lookups!$K$5:$K$16,0))=FALSE,OR(MID('Journal - Main'!N86,4,1)="C",MID('Journal - Main'!N86,4,1)="D")),LEFT('Journal - Main'!N86,2),Input!$B$6)</f>
        <v>20</v>
      </c>
      <c r="E86" s="32" t="s">
        <v>102</v>
      </c>
      <c r="H86" s="5" t="str">
        <f>IF(D86="",CONCATENATE(C86,'Journal - Main'!D86),"")</f>
        <v>20</v>
      </c>
      <c r="K86" s="12">
        <f>ROUND(_xlfn.NUMBERVALUE('Journal - Main'!G86),2)</f>
        <v>0</v>
      </c>
      <c r="L86" s="6"/>
      <c r="M86" s="6"/>
      <c r="N86" s="6"/>
      <c r="O86" s="6"/>
      <c r="P86" s="6"/>
      <c r="Q86" s="6"/>
      <c r="R86" s="5" t="str">
        <f>CONCATENATE(Input!$B$4," ",Input!$B$5," PAY ",TEXT(Input!$B$7,"DD/MM/YY"))</f>
        <v>VIC FN PAY 21/02/24</v>
      </c>
      <c r="S86" s="5">
        <f>'Journal - Main'!B86</f>
        <v>0</v>
      </c>
      <c r="W86" s="5" t="str">
        <f t="shared" si="4"/>
        <v xml:space="preserve"> </v>
      </c>
    </row>
    <row r="87" spans="1:23" x14ac:dyDescent="0.3">
      <c r="A87" s="3">
        <f t="shared" si="3"/>
        <v>86</v>
      </c>
      <c r="B87" s="4" t="s">
        <v>100</v>
      </c>
      <c r="C87" s="3">
        <f>IF(AND(ISNUMBER(MATCH('Journal - Main'!$E87,Lookups!$K$5:$K$16,0))=FALSE,OR(MID('Journal - Main'!N87,4,1)="C",MID('Journal - Main'!N87,4,1)="D")),LEFT('Journal - Main'!N87,2),Input!$B$6)</f>
        <v>20</v>
      </c>
      <c r="E87" s="32" t="s">
        <v>102</v>
      </c>
      <c r="H87" s="5" t="str">
        <f>IF(D87="",CONCATENATE(C87,'Journal - Main'!D87),"")</f>
        <v>20</v>
      </c>
      <c r="K87" s="12">
        <f>ROUND(_xlfn.NUMBERVALUE('Journal - Main'!G87),2)</f>
        <v>0</v>
      </c>
      <c r="L87" s="6"/>
      <c r="M87" s="6"/>
      <c r="N87" s="6"/>
      <c r="O87" s="6"/>
      <c r="P87" s="6"/>
      <c r="Q87" s="6"/>
      <c r="R87" s="5" t="str">
        <f>CONCATENATE(Input!$B$4," ",Input!$B$5," PAY ",TEXT(Input!$B$7,"DD/MM/YY"))</f>
        <v>VIC FN PAY 21/02/24</v>
      </c>
      <c r="S87" s="5">
        <f>'Journal - Main'!B87</f>
        <v>0</v>
      </c>
      <c r="W87" s="5" t="str">
        <f t="shared" si="4"/>
        <v xml:space="preserve"> </v>
      </c>
    </row>
    <row r="88" spans="1:23" x14ac:dyDescent="0.3">
      <c r="A88" s="3">
        <f t="shared" si="3"/>
        <v>87</v>
      </c>
      <c r="B88" s="4" t="s">
        <v>100</v>
      </c>
      <c r="C88" s="3">
        <f>IF(AND(ISNUMBER(MATCH('Journal - Main'!$E88,Lookups!$K$5:$K$16,0))=FALSE,OR(MID('Journal - Main'!N88,4,1)="C",MID('Journal - Main'!N88,4,1)="D")),LEFT('Journal - Main'!N88,2),Input!$B$6)</f>
        <v>20</v>
      </c>
      <c r="E88" s="32" t="s">
        <v>102</v>
      </c>
      <c r="H88" s="5" t="str">
        <f>IF(D88="",CONCATENATE(C88,'Journal - Main'!D88),"")</f>
        <v>20</v>
      </c>
      <c r="K88" s="12">
        <f>ROUND(_xlfn.NUMBERVALUE('Journal - Main'!G88),2)</f>
        <v>0</v>
      </c>
      <c r="L88" s="6"/>
      <c r="M88" s="6"/>
      <c r="N88" s="6"/>
      <c r="O88" s="6"/>
      <c r="P88" s="6"/>
      <c r="Q88" s="6"/>
      <c r="R88" s="5" t="str">
        <f>CONCATENATE(Input!$B$4," ",Input!$B$5," PAY ",TEXT(Input!$B$7,"DD/MM/YY"))</f>
        <v>VIC FN PAY 21/02/24</v>
      </c>
      <c r="S88" s="5">
        <f>'Journal - Main'!B88</f>
        <v>0</v>
      </c>
      <c r="W88" s="5" t="str">
        <f t="shared" si="4"/>
        <v xml:space="preserve"> </v>
      </c>
    </row>
    <row r="89" spans="1:23" x14ac:dyDescent="0.3">
      <c r="A89" s="3">
        <f t="shared" si="3"/>
        <v>88</v>
      </c>
      <c r="B89" s="4" t="s">
        <v>100</v>
      </c>
      <c r="C89" s="3">
        <f>IF(AND(ISNUMBER(MATCH('Journal - Main'!$E89,Lookups!$K$5:$K$16,0))=FALSE,OR(MID('Journal - Main'!N89,4,1)="C",MID('Journal - Main'!N89,4,1)="D")),LEFT('Journal - Main'!N89,2),Input!$B$6)</f>
        <v>20</v>
      </c>
      <c r="E89" s="32" t="s">
        <v>102</v>
      </c>
      <c r="H89" s="5" t="str">
        <f>IF(D89="",CONCATENATE(C89,'Journal - Main'!D89),"")</f>
        <v>20</v>
      </c>
      <c r="K89" s="12">
        <f>ROUND(_xlfn.NUMBERVALUE('Journal - Main'!G89),2)</f>
        <v>0</v>
      </c>
      <c r="L89" s="6"/>
      <c r="M89" s="6"/>
      <c r="N89" s="6"/>
      <c r="O89" s="6"/>
      <c r="P89" s="6"/>
      <c r="Q89" s="6"/>
      <c r="R89" s="5" t="str">
        <f>CONCATENATE(Input!$B$4," ",Input!$B$5," PAY ",TEXT(Input!$B$7,"DD/MM/YY"))</f>
        <v>VIC FN PAY 21/02/24</v>
      </c>
      <c r="S89" s="5">
        <f>'Journal - Main'!B89</f>
        <v>0</v>
      </c>
      <c r="W89" s="5" t="str">
        <f t="shared" si="4"/>
        <v xml:space="preserve"> </v>
      </c>
    </row>
    <row r="90" spans="1:23" x14ac:dyDescent="0.3">
      <c r="A90" s="3">
        <f t="shared" si="3"/>
        <v>89</v>
      </c>
      <c r="B90" s="4" t="s">
        <v>100</v>
      </c>
      <c r="C90" s="3">
        <f>IF(AND(ISNUMBER(MATCH('Journal - Main'!$E90,Lookups!$K$5:$K$16,0))=FALSE,OR(MID('Journal - Main'!N90,4,1)="C",MID('Journal - Main'!N90,4,1)="D")),LEFT('Journal - Main'!N90,2),Input!$B$6)</f>
        <v>20</v>
      </c>
      <c r="E90" s="32" t="s">
        <v>102</v>
      </c>
      <c r="H90" s="5" t="str">
        <f>IF(D90="",CONCATENATE(C90,'Journal - Main'!D90),"")</f>
        <v>20</v>
      </c>
      <c r="K90" s="12">
        <f>ROUND(_xlfn.NUMBERVALUE('Journal - Main'!G90),2)</f>
        <v>0</v>
      </c>
      <c r="L90" s="6"/>
      <c r="M90" s="6"/>
      <c r="N90" s="6"/>
      <c r="O90" s="6"/>
      <c r="P90" s="6"/>
      <c r="Q90" s="6"/>
      <c r="R90" s="5" t="str">
        <f>CONCATENATE(Input!$B$4," ",Input!$B$5," PAY ",TEXT(Input!$B$7,"DD/MM/YY"))</f>
        <v>VIC FN PAY 21/02/24</v>
      </c>
      <c r="S90" s="5">
        <f>'Journal - Main'!B90</f>
        <v>0</v>
      </c>
      <c r="W90" s="5" t="str">
        <f t="shared" si="4"/>
        <v xml:space="preserve"> </v>
      </c>
    </row>
    <row r="91" spans="1:23" x14ac:dyDescent="0.3">
      <c r="A91" s="3">
        <f t="shared" si="3"/>
        <v>90</v>
      </c>
      <c r="B91" s="4" t="s">
        <v>100</v>
      </c>
      <c r="C91" s="3">
        <f>IF(AND(ISNUMBER(MATCH('Journal - Main'!$E91,Lookups!$K$5:$K$16,0))=FALSE,OR(MID('Journal - Main'!N91,4,1)="C",MID('Journal - Main'!N91,4,1)="D")),LEFT('Journal - Main'!N91,2),Input!$B$6)</f>
        <v>20</v>
      </c>
      <c r="E91" s="32" t="s">
        <v>102</v>
      </c>
      <c r="H91" s="5" t="str">
        <f>IF(D91="",CONCATENATE(C91,'Journal - Main'!D91),"")</f>
        <v>20</v>
      </c>
      <c r="K91" s="12">
        <f>ROUND(_xlfn.NUMBERVALUE('Journal - Main'!G91),2)</f>
        <v>0</v>
      </c>
      <c r="L91" s="6"/>
      <c r="M91" s="6"/>
      <c r="N91" s="6"/>
      <c r="O91" s="6"/>
      <c r="P91" s="6"/>
      <c r="Q91" s="6"/>
      <c r="R91" s="5" t="str">
        <f>CONCATENATE(Input!$B$4," ",Input!$B$5," PAY ",TEXT(Input!$B$7,"DD/MM/YY"))</f>
        <v>VIC FN PAY 21/02/24</v>
      </c>
      <c r="S91" s="5">
        <f>'Journal - Main'!B91</f>
        <v>0</v>
      </c>
      <c r="W91" s="5" t="str">
        <f t="shared" si="4"/>
        <v xml:space="preserve"> </v>
      </c>
    </row>
    <row r="92" spans="1:23" x14ac:dyDescent="0.3">
      <c r="A92" s="3">
        <f t="shared" si="3"/>
        <v>91</v>
      </c>
      <c r="B92" s="4" t="s">
        <v>100</v>
      </c>
      <c r="C92" s="3">
        <f>IF(AND(ISNUMBER(MATCH('Journal - Main'!$E92,Lookups!$K$5:$K$16,0))=FALSE,OR(MID('Journal - Main'!N92,4,1)="C",MID('Journal - Main'!N92,4,1)="D")),LEFT('Journal - Main'!N92,2),Input!$B$6)</f>
        <v>20</v>
      </c>
      <c r="E92" s="32" t="s">
        <v>102</v>
      </c>
      <c r="H92" s="5" t="str">
        <f>IF(D92="",CONCATENATE(C92,'Journal - Main'!D92),"")</f>
        <v>20</v>
      </c>
      <c r="K92" s="12">
        <f>ROUND(_xlfn.NUMBERVALUE('Journal - Main'!G92),2)</f>
        <v>0</v>
      </c>
      <c r="L92" s="6"/>
      <c r="M92" s="6"/>
      <c r="N92" s="6"/>
      <c r="O92" s="6"/>
      <c r="P92" s="6"/>
      <c r="Q92" s="6"/>
      <c r="R92" s="5" t="str">
        <f>CONCATENATE(Input!$B$4," ",Input!$B$5," PAY ",TEXT(Input!$B$7,"DD/MM/YY"))</f>
        <v>VIC FN PAY 21/02/24</v>
      </c>
      <c r="S92" s="5">
        <f>'Journal - Main'!B92</f>
        <v>0</v>
      </c>
      <c r="W92" s="5" t="str">
        <f t="shared" si="4"/>
        <v xml:space="preserve"> </v>
      </c>
    </row>
    <row r="93" spans="1:23" x14ac:dyDescent="0.3">
      <c r="A93" s="3">
        <f t="shared" si="3"/>
        <v>92</v>
      </c>
      <c r="B93" s="4" t="s">
        <v>100</v>
      </c>
      <c r="C93" s="3">
        <f>IF(AND(ISNUMBER(MATCH('Journal - Main'!$E93,Lookups!$K$5:$K$16,0))=FALSE,OR(MID('Journal - Main'!N93,4,1)="C",MID('Journal - Main'!N93,4,1)="D")),LEFT('Journal - Main'!N93,2),Input!$B$6)</f>
        <v>20</v>
      </c>
      <c r="E93" s="32" t="s">
        <v>102</v>
      </c>
      <c r="H93" s="5" t="str">
        <f>IF(D93="",CONCATENATE(C93,'Journal - Main'!D93),"")</f>
        <v>20</v>
      </c>
      <c r="K93" s="12">
        <f>ROUND(_xlfn.NUMBERVALUE('Journal - Main'!G93),2)</f>
        <v>0</v>
      </c>
      <c r="L93" s="6"/>
      <c r="M93" s="6"/>
      <c r="N93" s="6"/>
      <c r="O93" s="6"/>
      <c r="P93" s="6"/>
      <c r="Q93" s="6"/>
      <c r="R93" s="5" t="str">
        <f>CONCATENATE(Input!$B$4," ",Input!$B$5," PAY ",TEXT(Input!$B$7,"DD/MM/YY"))</f>
        <v>VIC FN PAY 21/02/24</v>
      </c>
      <c r="S93" s="5">
        <f>'Journal - Main'!B93</f>
        <v>0</v>
      </c>
      <c r="W93" s="5" t="str">
        <f t="shared" si="4"/>
        <v xml:space="preserve"> </v>
      </c>
    </row>
    <row r="94" spans="1:23" x14ac:dyDescent="0.3">
      <c r="A94" s="3">
        <f t="shared" si="3"/>
        <v>93</v>
      </c>
      <c r="B94" s="4" t="s">
        <v>100</v>
      </c>
      <c r="C94" s="3">
        <f>IF(AND(ISNUMBER(MATCH('Journal - Main'!$E94,Lookups!$K$5:$K$16,0))=FALSE,OR(MID('Journal - Main'!N94,4,1)="C",MID('Journal - Main'!N94,4,1)="D")),LEFT('Journal - Main'!N94,2),Input!$B$6)</f>
        <v>20</v>
      </c>
      <c r="E94" s="32" t="s">
        <v>102</v>
      </c>
      <c r="H94" s="5" t="str">
        <f>IF(D94="",CONCATENATE(C94,'Journal - Main'!D94),"")</f>
        <v>20</v>
      </c>
      <c r="K94" s="12">
        <f>ROUND(_xlfn.NUMBERVALUE('Journal - Main'!G94),2)</f>
        <v>0</v>
      </c>
      <c r="L94" s="6"/>
      <c r="M94" s="6"/>
      <c r="N94" s="6"/>
      <c r="O94" s="6"/>
      <c r="P94" s="6"/>
      <c r="Q94" s="6"/>
      <c r="R94" s="5" t="str">
        <f>CONCATENATE(Input!$B$4," ",Input!$B$5," PAY ",TEXT(Input!$B$7,"DD/MM/YY"))</f>
        <v>VIC FN PAY 21/02/24</v>
      </c>
      <c r="S94" s="5">
        <f>'Journal - Main'!B94</f>
        <v>0</v>
      </c>
      <c r="W94" s="5" t="str">
        <f t="shared" si="4"/>
        <v xml:space="preserve"> </v>
      </c>
    </row>
    <row r="95" spans="1:23" x14ac:dyDescent="0.3">
      <c r="A95" s="3">
        <f t="shared" si="3"/>
        <v>94</v>
      </c>
      <c r="B95" s="4" t="s">
        <v>100</v>
      </c>
      <c r="C95" s="3">
        <f>IF(AND(ISNUMBER(MATCH('Journal - Main'!$E95,Lookups!$K$5:$K$16,0))=FALSE,OR(MID('Journal - Main'!N95,4,1)="C",MID('Journal - Main'!N95,4,1)="D")),LEFT('Journal - Main'!N95,2),Input!$B$6)</f>
        <v>20</v>
      </c>
      <c r="E95" s="32" t="s">
        <v>102</v>
      </c>
      <c r="H95" s="5" t="str">
        <f>IF(D95="",CONCATENATE(C95,'Journal - Main'!D95),"")</f>
        <v>20</v>
      </c>
      <c r="K95" s="12">
        <f>ROUND(_xlfn.NUMBERVALUE('Journal - Main'!G95),2)</f>
        <v>0</v>
      </c>
      <c r="L95" s="6"/>
      <c r="M95" s="6"/>
      <c r="N95" s="6"/>
      <c r="O95" s="6"/>
      <c r="P95" s="6"/>
      <c r="Q95" s="6"/>
      <c r="R95" s="5" t="str">
        <f>CONCATENATE(Input!$B$4," ",Input!$B$5," PAY ",TEXT(Input!$B$7,"DD/MM/YY"))</f>
        <v>VIC FN PAY 21/02/24</v>
      </c>
      <c r="S95" s="5">
        <f>'Journal - Main'!B95</f>
        <v>0</v>
      </c>
      <c r="W95" s="5" t="str">
        <f t="shared" si="4"/>
        <v xml:space="preserve"> </v>
      </c>
    </row>
    <row r="96" spans="1:23" x14ac:dyDescent="0.3">
      <c r="A96" s="3">
        <f t="shared" si="3"/>
        <v>95</v>
      </c>
      <c r="B96" s="4" t="s">
        <v>100</v>
      </c>
      <c r="C96" s="3">
        <f>IF(AND(ISNUMBER(MATCH('Journal - Main'!$E96,Lookups!$K$5:$K$16,0))=FALSE,OR(MID('Journal - Main'!N96,4,1)="C",MID('Journal - Main'!N96,4,1)="D")),LEFT('Journal - Main'!N96,2),Input!$B$6)</f>
        <v>20</v>
      </c>
      <c r="E96" s="32" t="s">
        <v>102</v>
      </c>
      <c r="H96" s="5" t="str">
        <f>IF(D96="",CONCATENATE(C96,'Journal - Main'!D96),"")</f>
        <v>20</v>
      </c>
      <c r="K96" s="12">
        <f>ROUND(_xlfn.NUMBERVALUE('Journal - Main'!G96),2)</f>
        <v>0</v>
      </c>
      <c r="L96" s="6"/>
      <c r="M96" s="6"/>
      <c r="N96" s="6"/>
      <c r="O96" s="6"/>
      <c r="P96" s="6"/>
      <c r="Q96" s="6"/>
      <c r="R96" s="5" t="str">
        <f>CONCATENATE(Input!$B$4," ",Input!$B$5," PAY ",TEXT(Input!$B$7,"DD/MM/YY"))</f>
        <v>VIC FN PAY 21/02/24</v>
      </c>
      <c r="S96" s="5">
        <f>'Journal - Main'!B96</f>
        <v>0</v>
      </c>
      <c r="W96" s="5" t="str">
        <f t="shared" si="4"/>
        <v xml:space="preserve"> </v>
      </c>
    </row>
    <row r="97" spans="1:23" x14ac:dyDescent="0.3">
      <c r="A97" s="3">
        <f t="shared" si="3"/>
        <v>96</v>
      </c>
      <c r="B97" s="4" t="s">
        <v>100</v>
      </c>
      <c r="C97" s="3">
        <f>IF(AND(ISNUMBER(MATCH('Journal - Main'!$E97,Lookups!$K$5:$K$16,0))=FALSE,OR(MID('Journal - Main'!N97,4,1)="C",MID('Journal - Main'!N97,4,1)="D")),LEFT('Journal - Main'!N97,2),Input!$B$6)</f>
        <v>20</v>
      </c>
      <c r="E97" s="32" t="s">
        <v>102</v>
      </c>
      <c r="H97" s="5" t="str">
        <f>IF(D97="",CONCATENATE(C97,'Journal - Main'!D97),"")</f>
        <v>20</v>
      </c>
      <c r="K97" s="12">
        <f>ROUND(_xlfn.NUMBERVALUE('Journal - Main'!G97),2)</f>
        <v>0</v>
      </c>
      <c r="L97" s="6"/>
      <c r="M97" s="6"/>
      <c r="N97" s="6"/>
      <c r="O97" s="6"/>
      <c r="P97" s="6"/>
      <c r="Q97" s="6"/>
      <c r="R97" s="5" t="str">
        <f>CONCATENATE(Input!$B$4," ",Input!$B$5," PAY ",TEXT(Input!$B$7,"DD/MM/YY"))</f>
        <v>VIC FN PAY 21/02/24</v>
      </c>
      <c r="S97" s="5">
        <f>'Journal - Main'!B97</f>
        <v>0</v>
      </c>
      <c r="W97" s="5" t="str">
        <f t="shared" si="4"/>
        <v xml:space="preserve"> </v>
      </c>
    </row>
    <row r="98" spans="1:23" x14ac:dyDescent="0.3">
      <c r="A98" s="3">
        <f t="shared" si="3"/>
        <v>97</v>
      </c>
      <c r="B98" s="4" t="s">
        <v>100</v>
      </c>
      <c r="C98" s="3">
        <f>IF(AND(ISNUMBER(MATCH('Journal - Main'!$E98,Lookups!$K$5:$K$16,0))=FALSE,OR(MID('Journal - Main'!N98,4,1)="C",MID('Journal - Main'!N98,4,1)="D")),LEFT('Journal - Main'!N98,2),Input!$B$6)</f>
        <v>20</v>
      </c>
      <c r="E98" s="32" t="s">
        <v>102</v>
      </c>
      <c r="H98" s="5" t="str">
        <f>IF(D98="",CONCATENATE(C98,'Journal - Main'!D98),"")</f>
        <v>20</v>
      </c>
      <c r="K98" s="12">
        <f>ROUND(_xlfn.NUMBERVALUE('Journal - Main'!G98),2)</f>
        <v>0</v>
      </c>
      <c r="L98" s="6"/>
      <c r="M98" s="6"/>
      <c r="N98" s="6"/>
      <c r="O98" s="6"/>
      <c r="P98" s="6"/>
      <c r="Q98" s="6"/>
      <c r="R98" s="5" t="str">
        <f>CONCATENATE(Input!$B$4," ",Input!$B$5," PAY ",TEXT(Input!$B$7,"DD/MM/YY"))</f>
        <v>VIC FN PAY 21/02/24</v>
      </c>
      <c r="S98" s="5">
        <f>'Journal - Main'!B98</f>
        <v>0</v>
      </c>
      <c r="W98" s="5" t="str">
        <f t="shared" si="4"/>
        <v xml:space="preserve"> </v>
      </c>
    </row>
    <row r="99" spans="1:23" x14ac:dyDescent="0.3">
      <c r="A99" s="3">
        <f t="shared" si="3"/>
        <v>98</v>
      </c>
      <c r="B99" s="4" t="s">
        <v>100</v>
      </c>
      <c r="C99" s="3">
        <f>IF(AND(ISNUMBER(MATCH('Journal - Main'!$E99,Lookups!$K$5:$K$16,0))=FALSE,OR(MID('Journal - Main'!N99,4,1)="C",MID('Journal - Main'!N99,4,1)="D")),LEFT('Journal - Main'!N99,2),Input!$B$6)</f>
        <v>20</v>
      </c>
      <c r="E99" s="32" t="s">
        <v>102</v>
      </c>
      <c r="H99" s="5" t="str">
        <f>IF(D99="",CONCATENATE(C99,'Journal - Main'!D99),"")</f>
        <v>20</v>
      </c>
      <c r="K99" s="12">
        <f>ROUND(_xlfn.NUMBERVALUE('Journal - Main'!G99),2)</f>
        <v>0</v>
      </c>
      <c r="L99" s="6"/>
      <c r="M99" s="6"/>
      <c r="N99" s="6"/>
      <c r="O99" s="6"/>
      <c r="P99" s="6"/>
      <c r="Q99" s="6"/>
      <c r="R99" s="5" t="str">
        <f>CONCATENATE(Input!$B$4," ",Input!$B$5," PAY ",TEXT(Input!$B$7,"DD/MM/YY"))</f>
        <v>VIC FN PAY 21/02/24</v>
      </c>
      <c r="S99" s="5">
        <f>'Journal - Main'!B99</f>
        <v>0</v>
      </c>
      <c r="W99" s="5" t="str">
        <f t="shared" si="4"/>
        <v xml:space="preserve"> </v>
      </c>
    </row>
    <row r="100" spans="1:23" x14ac:dyDescent="0.3">
      <c r="A100" s="3">
        <f t="shared" si="3"/>
        <v>99</v>
      </c>
      <c r="B100" s="4" t="s">
        <v>100</v>
      </c>
      <c r="C100" s="3">
        <f>IF(AND(ISNUMBER(MATCH('Journal - Main'!$E100,Lookups!$K$5:$K$16,0))=FALSE,OR(MID('Journal - Main'!N100,4,1)="C",MID('Journal - Main'!N100,4,1)="D")),LEFT('Journal - Main'!N100,2),Input!$B$6)</f>
        <v>20</v>
      </c>
      <c r="E100" s="32" t="s">
        <v>102</v>
      </c>
      <c r="H100" s="5" t="str">
        <f>IF(D100="",CONCATENATE(C100,'Journal - Main'!D100),"")</f>
        <v>20</v>
      </c>
      <c r="K100" s="12">
        <f>ROUND(_xlfn.NUMBERVALUE('Journal - Main'!G100),2)</f>
        <v>0</v>
      </c>
      <c r="L100" s="6"/>
      <c r="M100" s="6"/>
      <c r="N100" s="6"/>
      <c r="O100" s="6"/>
      <c r="P100" s="6"/>
      <c r="Q100" s="6"/>
      <c r="R100" s="5" t="str">
        <f>CONCATENATE(Input!$B$4," ",Input!$B$5," PAY ",TEXT(Input!$B$7,"DD/MM/YY"))</f>
        <v>VIC FN PAY 21/02/24</v>
      </c>
      <c r="S100" s="5">
        <f>'Journal - Main'!B100</f>
        <v>0</v>
      </c>
      <c r="W100" s="5" t="str">
        <f t="shared" si="4"/>
        <v xml:space="preserve"> </v>
      </c>
    </row>
    <row r="101" spans="1:23" x14ac:dyDescent="0.3">
      <c r="A101" s="3">
        <f t="shared" si="3"/>
        <v>100</v>
      </c>
      <c r="B101" s="4" t="s">
        <v>100</v>
      </c>
      <c r="C101" s="3">
        <f>IF(AND(ISNUMBER(MATCH('Journal - Main'!$E101,Lookups!$K$5:$K$16,0))=FALSE,OR(MID('Journal - Main'!N101,4,1)="C",MID('Journal - Main'!N101,4,1)="D")),LEFT('Journal - Main'!N101,2),Input!$B$6)</f>
        <v>20</v>
      </c>
      <c r="E101" s="32" t="s">
        <v>102</v>
      </c>
      <c r="H101" s="5" t="str">
        <f>IF(D101="",CONCATENATE(C101,'Journal - Main'!D101),"")</f>
        <v>20</v>
      </c>
      <c r="K101" s="12">
        <f>ROUND(_xlfn.NUMBERVALUE('Journal - Main'!G101),2)</f>
        <v>0</v>
      </c>
      <c r="L101" s="6"/>
      <c r="M101" s="6"/>
      <c r="N101" s="6"/>
      <c r="O101" s="6"/>
      <c r="P101" s="6"/>
      <c r="Q101" s="6"/>
      <c r="R101" s="5" t="str">
        <f>CONCATENATE(Input!$B$4," ",Input!$B$5," PAY ",TEXT(Input!$B$7,"DD/MM/YY"))</f>
        <v>VIC FN PAY 21/02/24</v>
      </c>
      <c r="S101" s="5">
        <f>'Journal - Main'!B101</f>
        <v>0</v>
      </c>
      <c r="W101" s="5" t="str">
        <f t="shared" si="4"/>
        <v xml:space="preserve"> </v>
      </c>
    </row>
    <row r="102" spans="1:23" x14ac:dyDescent="0.3">
      <c r="A102" s="3">
        <f t="shared" si="3"/>
        <v>101</v>
      </c>
      <c r="B102" s="4" t="s">
        <v>100</v>
      </c>
      <c r="C102" s="3">
        <f>IF(AND(ISNUMBER(MATCH('Journal - Main'!$E102,Lookups!$K$5:$K$16,0))=FALSE,OR(MID('Journal - Main'!N102,4,1)="C",MID('Journal - Main'!N102,4,1)="D")),LEFT('Journal - Main'!N102,2),Input!$B$6)</f>
        <v>20</v>
      </c>
      <c r="E102" s="32" t="s">
        <v>102</v>
      </c>
      <c r="H102" s="5" t="str">
        <f>IF(D102="",CONCATENATE(C102,'Journal - Main'!D102),"")</f>
        <v>20</v>
      </c>
      <c r="K102" s="12">
        <f>ROUND(_xlfn.NUMBERVALUE('Journal - Main'!G102),2)</f>
        <v>0</v>
      </c>
      <c r="L102" s="6"/>
      <c r="M102" s="6"/>
      <c r="N102" s="6"/>
      <c r="O102" s="6"/>
      <c r="P102" s="6"/>
      <c r="Q102" s="6"/>
      <c r="R102" s="5" t="str">
        <f>CONCATENATE(Input!$B$4," ",Input!$B$5," PAY ",TEXT(Input!$B$7,"DD/MM/YY"))</f>
        <v>VIC FN PAY 21/02/24</v>
      </c>
      <c r="S102" s="5">
        <f>'Journal - Main'!B102</f>
        <v>0</v>
      </c>
      <c r="W102" s="5" t="str">
        <f t="shared" si="4"/>
        <v xml:space="preserve"> </v>
      </c>
    </row>
    <row r="103" spans="1:23" x14ac:dyDescent="0.3">
      <c r="A103" s="3">
        <f t="shared" si="3"/>
        <v>102</v>
      </c>
      <c r="B103" s="4" t="s">
        <v>100</v>
      </c>
      <c r="C103" s="3">
        <f>IF(AND(ISNUMBER(MATCH('Journal - Main'!$E103,Lookups!$K$5:$K$16,0))=FALSE,OR(MID('Journal - Main'!N103,4,1)="C",MID('Journal - Main'!N103,4,1)="D")),LEFT('Journal - Main'!N103,2),Input!$B$6)</f>
        <v>20</v>
      </c>
      <c r="E103" s="32" t="s">
        <v>102</v>
      </c>
      <c r="H103" s="5" t="str">
        <f>IF(D103="",CONCATENATE(C103,'Journal - Main'!D103),"")</f>
        <v>20</v>
      </c>
      <c r="K103" s="12">
        <f>ROUND(_xlfn.NUMBERVALUE('Journal - Main'!G103),2)</f>
        <v>0</v>
      </c>
      <c r="L103" s="6"/>
      <c r="M103" s="6"/>
      <c r="N103" s="6"/>
      <c r="O103" s="6"/>
      <c r="P103" s="6"/>
      <c r="Q103" s="6"/>
      <c r="R103" s="5" t="str">
        <f>CONCATENATE(Input!$B$4," ",Input!$B$5," PAY ",TEXT(Input!$B$7,"DD/MM/YY"))</f>
        <v>VIC FN PAY 21/02/24</v>
      </c>
      <c r="S103" s="5">
        <f>'Journal - Main'!B103</f>
        <v>0</v>
      </c>
      <c r="W103" s="5" t="str">
        <f t="shared" si="4"/>
        <v xml:space="preserve"> </v>
      </c>
    </row>
    <row r="104" spans="1:23" x14ac:dyDescent="0.3">
      <c r="A104" s="3">
        <f t="shared" si="3"/>
        <v>103</v>
      </c>
      <c r="B104" s="4" t="s">
        <v>100</v>
      </c>
      <c r="C104" s="3">
        <f>IF(AND(ISNUMBER(MATCH('Journal - Main'!$E104,Lookups!$K$5:$K$16,0))=FALSE,OR(MID('Journal - Main'!N104,4,1)="C",MID('Journal - Main'!N104,4,1)="D")),LEFT('Journal - Main'!N104,2),Input!$B$6)</f>
        <v>20</v>
      </c>
      <c r="E104" s="32" t="s">
        <v>102</v>
      </c>
      <c r="H104" s="5" t="str">
        <f>IF(D104="",CONCATENATE(C104,'Journal - Main'!D104),"")</f>
        <v>20</v>
      </c>
      <c r="K104" s="12">
        <f>ROUND(_xlfn.NUMBERVALUE('Journal - Main'!G104),2)</f>
        <v>0</v>
      </c>
      <c r="L104" s="6"/>
      <c r="M104" s="6"/>
      <c r="N104" s="6"/>
      <c r="O104" s="6"/>
      <c r="P104" s="6"/>
      <c r="Q104" s="6"/>
      <c r="R104" s="5" t="str">
        <f>CONCATENATE(Input!$B$4," ",Input!$B$5," PAY ",TEXT(Input!$B$7,"DD/MM/YY"))</f>
        <v>VIC FN PAY 21/02/24</v>
      </c>
      <c r="S104" s="5">
        <f>'Journal - Main'!B104</f>
        <v>0</v>
      </c>
      <c r="W104" s="5" t="str">
        <f t="shared" si="4"/>
        <v xml:space="preserve"> </v>
      </c>
    </row>
    <row r="105" spans="1:23" x14ac:dyDescent="0.3">
      <c r="A105" s="3">
        <f t="shared" si="3"/>
        <v>104</v>
      </c>
      <c r="B105" s="4" t="s">
        <v>100</v>
      </c>
      <c r="C105" s="3">
        <f>IF(AND(ISNUMBER(MATCH('Journal - Main'!$E105,Lookups!$K$5:$K$16,0))=FALSE,OR(MID('Journal - Main'!N105,4,1)="C",MID('Journal - Main'!N105,4,1)="D")),LEFT('Journal - Main'!N105,2),Input!$B$6)</f>
        <v>20</v>
      </c>
      <c r="E105" s="32" t="s">
        <v>102</v>
      </c>
      <c r="H105" s="5" t="str">
        <f>IF(D105="",CONCATENATE(C105,'Journal - Main'!D105),"")</f>
        <v>20</v>
      </c>
      <c r="K105" s="12">
        <f>ROUND(_xlfn.NUMBERVALUE('Journal - Main'!G105),2)</f>
        <v>0</v>
      </c>
      <c r="L105" s="6"/>
      <c r="M105" s="6"/>
      <c r="N105" s="6"/>
      <c r="O105" s="6"/>
      <c r="P105" s="6"/>
      <c r="Q105" s="6"/>
      <c r="R105" s="5" t="str">
        <f>CONCATENATE(Input!$B$4," ",Input!$B$5," PAY ",TEXT(Input!$B$7,"DD/MM/YY"))</f>
        <v>VIC FN PAY 21/02/24</v>
      </c>
      <c r="S105" s="5">
        <f>'Journal - Main'!B105</f>
        <v>0</v>
      </c>
      <c r="W105" s="5" t="str">
        <f t="shared" si="4"/>
        <v xml:space="preserve"> </v>
      </c>
    </row>
    <row r="106" spans="1:23" x14ac:dyDescent="0.3">
      <c r="A106" s="3">
        <f t="shared" si="3"/>
        <v>105</v>
      </c>
      <c r="B106" s="4" t="s">
        <v>100</v>
      </c>
      <c r="C106" s="3">
        <f>IF(AND(ISNUMBER(MATCH('Journal - Main'!$E106,Lookups!$K$5:$K$16,0))=FALSE,OR(MID('Journal - Main'!N106,4,1)="C",MID('Journal - Main'!N106,4,1)="D")),LEFT('Journal - Main'!N106,2),Input!$B$6)</f>
        <v>20</v>
      </c>
      <c r="E106" s="32" t="s">
        <v>102</v>
      </c>
      <c r="H106" s="5" t="str">
        <f>IF(D106="",CONCATENATE(C106,'Journal - Main'!D106),"")</f>
        <v>20</v>
      </c>
      <c r="K106" s="12">
        <f>ROUND(_xlfn.NUMBERVALUE('Journal - Main'!G106),2)</f>
        <v>0</v>
      </c>
      <c r="L106" s="6"/>
      <c r="M106" s="6"/>
      <c r="N106" s="6"/>
      <c r="O106" s="6"/>
      <c r="P106" s="6"/>
      <c r="Q106" s="6"/>
      <c r="R106" s="5" t="str">
        <f>CONCATENATE(Input!$B$4," ",Input!$B$5," PAY ",TEXT(Input!$B$7,"DD/MM/YY"))</f>
        <v>VIC FN PAY 21/02/24</v>
      </c>
      <c r="S106" s="5">
        <f>'Journal - Main'!B106</f>
        <v>0</v>
      </c>
      <c r="W106" s="5" t="str">
        <f t="shared" si="4"/>
        <v xml:space="preserve"> </v>
      </c>
    </row>
    <row r="107" spans="1:23" x14ac:dyDescent="0.3">
      <c r="A107" s="3">
        <f t="shared" si="3"/>
        <v>106</v>
      </c>
      <c r="B107" s="4" t="s">
        <v>100</v>
      </c>
      <c r="C107" s="3">
        <f>IF(AND(ISNUMBER(MATCH('Journal - Main'!$E107,Lookups!$K$5:$K$16,0))=FALSE,OR(MID('Journal - Main'!N107,4,1)="C",MID('Journal - Main'!N107,4,1)="D")),LEFT('Journal - Main'!N107,2),Input!$B$6)</f>
        <v>20</v>
      </c>
      <c r="E107" s="32" t="s">
        <v>102</v>
      </c>
      <c r="H107" s="5" t="str">
        <f>IF(D107="",CONCATENATE(C107,'Journal - Main'!D107),"")</f>
        <v>20</v>
      </c>
      <c r="K107" s="12">
        <f>ROUND(_xlfn.NUMBERVALUE('Journal - Main'!G107),2)</f>
        <v>0</v>
      </c>
      <c r="L107" s="6"/>
      <c r="M107" s="6"/>
      <c r="N107" s="6"/>
      <c r="O107" s="6"/>
      <c r="P107" s="6"/>
      <c r="Q107" s="6"/>
      <c r="R107" s="5" t="str">
        <f>CONCATENATE(Input!$B$4," ",Input!$B$5," PAY ",TEXT(Input!$B$7,"DD/MM/YY"))</f>
        <v>VIC FN PAY 21/02/24</v>
      </c>
      <c r="S107" s="5">
        <f>'Journal - Main'!B107</f>
        <v>0</v>
      </c>
      <c r="W107" s="5" t="str">
        <f t="shared" si="4"/>
        <v xml:space="preserve"> </v>
      </c>
    </row>
    <row r="108" spans="1:23" x14ac:dyDescent="0.3">
      <c r="A108" s="3">
        <f t="shared" si="3"/>
        <v>107</v>
      </c>
      <c r="B108" s="4" t="s">
        <v>100</v>
      </c>
      <c r="C108" s="3">
        <f>IF(AND(ISNUMBER(MATCH('Journal - Main'!$E108,Lookups!$K$5:$K$16,0))=FALSE,OR(MID('Journal - Main'!N108,4,1)="C",MID('Journal - Main'!N108,4,1)="D")),LEFT('Journal - Main'!N108,2),Input!$B$6)</f>
        <v>20</v>
      </c>
      <c r="E108" s="32" t="s">
        <v>102</v>
      </c>
      <c r="H108" s="5" t="str">
        <f>IF(D108="",CONCATENATE(C108,'Journal - Main'!D108),"")</f>
        <v>20</v>
      </c>
      <c r="K108" s="12">
        <f>ROUND(_xlfn.NUMBERVALUE('Journal - Main'!G108),2)</f>
        <v>0</v>
      </c>
      <c r="L108" s="6"/>
      <c r="M108" s="6"/>
      <c r="N108" s="6"/>
      <c r="O108" s="6"/>
      <c r="P108" s="6"/>
      <c r="Q108" s="6"/>
      <c r="R108" s="5" t="str">
        <f>CONCATENATE(Input!$B$4," ",Input!$B$5," PAY ",TEXT(Input!$B$7,"DD/MM/YY"))</f>
        <v>VIC FN PAY 21/02/24</v>
      </c>
      <c r="S108" s="5">
        <f>'Journal - Main'!B108</f>
        <v>0</v>
      </c>
      <c r="W108" s="5" t="str">
        <f t="shared" si="4"/>
        <v xml:space="preserve"> </v>
      </c>
    </row>
    <row r="109" spans="1:23" x14ac:dyDescent="0.3">
      <c r="A109" s="3">
        <f t="shared" si="3"/>
        <v>108</v>
      </c>
      <c r="B109" s="4" t="s">
        <v>100</v>
      </c>
      <c r="C109" s="3">
        <f>IF(AND(ISNUMBER(MATCH('Journal - Main'!$E109,Lookups!$K$5:$K$16,0))=FALSE,OR(MID('Journal - Main'!N109,4,1)="C",MID('Journal - Main'!N109,4,1)="D")),LEFT('Journal - Main'!N109,2),Input!$B$6)</f>
        <v>20</v>
      </c>
      <c r="E109" s="32" t="s">
        <v>102</v>
      </c>
      <c r="H109" s="5" t="str">
        <f>IF(D109="",CONCATENATE(C109,'Journal - Main'!D109),"")</f>
        <v>20</v>
      </c>
      <c r="K109" s="12">
        <f>ROUND(_xlfn.NUMBERVALUE('Journal - Main'!G109),2)</f>
        <v>0</v>
      </c>
      <c r="L109" s="6"/>
      <c r="M109" s="6"/>
      <c r="N109" s="6"/>
      <c r="O109" s="6"/>
      <c r="P109" s="6"/>
      <c r="Q109" s="6"/>
      <c r="R109" s="5" t="str">
        <f>CONCATENATE(Input!$B$4," ",Input!$B$5," PAY ",TEXT(Input!$B$7,"DD/MM/YY"))</f>
        <v>VIC FN PAY 21/02/24</v>
      </c>
      <c r="S109" s="5">
        <f>'Journal - Main'!B109</f>
        <v>0</v>
      </c>
      <c r="W109" s="5" t="str">
        <f t="shared" si="4"/>
        <v xml:space="preserve"> </v>
      </c>
    </row>
    <row r="110" spans="1:23" x14ac:dyDescent="0.3">
      <c r="A110" s="3">
        <f t="shared" si="3"/>
        <v>109</v>
      </c>
      <c r="B110" s="4" t="s">
        <v>100</v>
      </c>
      <c r="C110" s="3">
        <f>IF(AND(ISNUMBER(MATCH('Journal - Main'!$E110,Lookups!$K$5:$K$16,0))=FALSE,OR(MID('Journal - Main'!N110,4,1)="C",MID('Journal - Main'!N110,4,1)="D")),LEFT('Journal - Main'!N110,2),Input!$B$6)</f>
        <v>20</v>
      </c>
      <c r="E110" s="32" t="s">
        <v>102</v>
      </c>
      <c r="H110" s="5" t="str">
        <f>IF(D110="",CONCATENATE(C110,'Journal - Main'!D110),"")</f>
        <v>20</v>
      </c>
      <c r="K110" s="12">
        <f>ROUND(_xlfn.NUMBERVALUE('Journal - Main'!G110),2)</f>
        <v>0</v>
      </c>
      <c r="L110" s="6"/>
      <c r="M110" s="6"/>
      <c r="N110" s="6"/>
      <c r="O110" s="6"/>
      <c r="P110" s="6"/>
      <c r="Q110" s="6"/>
      <c r="R110" s="5" t="str">
        <f>CONCATENATE(Input!$B$4," ",Input!$B$5," PAY ",TEXT(Input!$B$7,"DD/MM/YY"))</f>
        <v>VIC FN PAY 21/02/24</v>
      </c>
      <c r="S110" s="5">
        <f>'Journal - Main'!B110</f>
        <v>0</v>
      </c>
      <c r="W110" s="5" t="str">
        <f t="shared" si="4"/>
        <v xml:space="preserve"> </v>
      </c>
    </row>
    <row r="111" spans="1:23" x14ac:dyDescent="0.3">
      <c r="A111" s="3">
        <f t="shared" si="3"/>
        <v>110</v>
      </c>
      <c r="B111" s="4" t="s">
        <v>100</v>
      </c>
      <c r="C111" s="3">
        <f>IF(AND(ISNUMBER(MATCH('Journal - Main'!$E111,Lookups!$K$5:$K$16,0))=FALSE,OR(MID('Journal - Main'!N111,4,1)="C",MID('Journal - Main'!N111,4,1)="D")),LEFT('Journal - Main'!N111,2),Input!$B$6)</f>
        <v>20</v>
      </c>
      <c r="E111" s="32" t="s">
        <v>102</v>
      </c>
      <c r="H111" s="5" t="str">
        <f>IF(D111="",CONCATENATE(C111,'Journal - Main'!D111),"")</f>
        <v>20</v>
      </c>
      <c r="K111" s="12">
        <f>ROUND(_xlfn.NUMBERVALUE('Journal - Main'!G111),2)</f>
        <v>0</v>
      </c>
      <c r="L111" s="6"/>
      <c r="M111" s="6"/>
      <c r="N111" s="6"/>
      <c r="O111" s="6"/>
      <c r="P111" s="6"/>
      <c r="Q111" s="6"/>
      <c r="R111" s="5" t="str">
        <f>CONCATENATE(Input!$B$4," ",Input!$B$5," PAY ",TEXT(Input!$B$7,"DD/MM/YY"))</f>
        <v>VIC FN PAY 21/02/24</v>
      </c>
      <c r="S111" s="5">
        <f>'Journal - Main'!B111</f>
        <v>0</v>
      </c>
      <c r="W111" s="5" t="str">
        <f t="shared" si="4"/>
        <v xml:space="preserve"> </v>
      </c>
    </row>
    <row r="112" spans="1:23" x14ac:dyDescent="0.3">
      <c r="A112" s="3">
        <f t="shared" si="3"/>
        <v>111</v>
      </c>
      <c r="B112" s="4" t="s">
        <v>100</v>
      </c>
      <c r="C112" s="3">
        <f>IF(AND(ISNUMBER(MATCH('Journal - Main'!$E112,Lookups!$K$5:$K$16,0))=FALSE,OR(MID('Journal - Main'!N112,4,1)="C",MID('Journal - Main'!N112,4,1)="D")),LEFT('Journal - Main'!N112,2),Input!$B$6)</f>
        <v>20</v>
      </c>
      <c r="E112" s="32" t="s">
        <v>102</v>
      </c>
      <c r="H112" s="5" t="str">
        <f>IF(D112="",CONCATENATE(C112,'Journal - Main'!D112),"")</f>
        <v>20</v>
      </c>
      <c r="K112" s="12">
        <f>ROUND(_xlfn.NUMBERVALUE('Journal - Main'!G112),2)</f>
        <v>0</v>
      </c>
      <c r="L112" s="6"/>
      <c r="M112" s="6"/>
      <c r="N112" s="6"/>
      <c r="O112" s="6"/>
      <c r="P112" s="6"/>
      <c r="Q112" s="6"/>
      <c r="R112" s="5" t="str">
        <f>CONCATENATE(Input!$B$4," ",Input!$B$5," PAY ",TEXT(Input!$B$7,"DD/MM/YY"))</f>
        <v>VIC FN PAY 21/02/24</v>
      </c>
      <c r="S112" s="5">
        <f>'Journal - Main'!B112</f>
        <v>0</v>
      </c>
      <c r="W112" s="5" t="str">
        <f t="shared" si="4"/>
        <v xml:space="preserve"> </v>
      </c>
    </row>
    <row r="113" spans="1:23" x14ac:dyDescent="0.3">
      <c r="A113" s="3">
        <f t="shared" si="3"/>
        <v>112</v>
      </c>
      <c r="B113" s="4" t="s">
        <v>100</v>
      </c>
      <c r="C113" s="3">
        <f>IF(AND(ISNUMBER(MATCH('Journal - Main'!$E113,Lookups!$K$5:$K$16,0))=FALSE,OR(MID('Journal - Main'!N113,4,1)="C",MID('Journal - Main'!N113,4,1)="D")),LEFT('Journal - Main'!N113,2),Input!$B$6)</f>
        <v>20</v>
      </c>
      <c r="E113" s="32" t="s">
        <v>102</v>
      </c>
      <c r="H113" s="5" t="str">
        <f>IF(D113="",CONCATENATE(C113,'Journal - Main'!D113),"")</f>
        <v>20</v>
      </c>
      <c r="K113" s="12">
        <f>ROUND(_xlfn.NUMBERVALUE('Journal - Main'!G113),2)</f>
        <v>0</v>
      </c>
      <c r="L113" s="6"/>
      <c r="M113" s="6"/>
      <c r="N113" s="6"/>
      <c r="O113" s="6"/>
      <c r="P113" s="6"/>
      <c r="Q113" s="6"/>
      <c r="R113" s="5" t="str">
        <f>CONCATENATE(Input!$B$4," ",Input!$B$5," PAY ",TEXT(Input!$B$7,"DD/MM/YY"))</f>
        <v>VIC FN PAY 21/02/24</v>
      </c>
      <c r="S113" s="5">
        <f>'Journal - Main'!B113</f>
        <v>0</v>
      </c>
      <c r="W113" s="5" t="str">
        <f t="shared" si="4"/>
        <v xml:space="preserve"> </v>
      </c>
    </row>
    <row r="114" spans="1:23" x14ac:dyDescent="0.3">
      <c r="A114" s="3">
        <f t="shared" si="3"/>
        <v>113</v>
      </c>
      <c r="B114" s="4" t="s">
        <v>100</v>
      </c>
      <c r="C114" s="3">
        <f>IF(AND(ISNUMBER(MATCH('Journal - Main'!$E114,Lookups!$K$5:$K$16,0))=FALSE,OR(MID('Journal - Main'!N114,4,1)="C",MID('Journal - Main'!N114,4,1)="D")),LEFT('Journal - Main'!N114,2),Input!$B$6)</f>
        <v>20</v>
      </c>
      <c r="E114" s="32" t="s">
        <v>102</v>
      </c>
      <c r="H114" s="5" t="str">
        <f>IF(D114="",CONCATENATE(C114,'Journal - Main'!D114),"")</f>
        <v>20</v>
      </c>
      <c r="K114" s="12">
        <f>ROUND(_xlfn.NUMBERVALUE('Journal - Main'!G114),2)</f>
        <v>0</v>
      </c>
      <c r="L114" s="6"/>
      <c r="M114" s="6"/>
      <c r="N114" s="6"/>
      <c r="O114" s="6"/>
      <c r="P114" s="6"/>
      <c r="Q114" s="6"/>
      <c r="R114" s="5" t="str">
        <f>CONCATENATE(Input!$B$4," ",Input!$B$5," PAY ",TEXT(Input!$B$7,"DD/MM/YY"))</f>
        <v>VIC FN PAY 21/02/24</v>
      </c>
      <c r="S114" s="5">
        <f>'Journal - Main'!B114</f>
        <v>0</v>
      </c>
      <c r="W114" s="5" t="str">
        <f t="shared" si="4"/>
        <v xml:space="preserve"> </v>
      </c>
    </row>
    <row r="115" spans="1:23" x14ac:dyDescent="0.3">
      <c r="A115" s="3">
        <f t="shared" si="3"/>
        <v>114</v>
      </c>
      <c r="B115" s="4" t="s">
        <v>100</v>
      </c>
      <c r="C115" s="3">
        <f>IF(AND(ISNUMBER(MATCH('Journal - Main'!$E115,Lookups!$K$5:$K$16,0))=FALSE,OR(MID('Journal - Main'!N115,4,1)="C",MID('Journal - Main'!N115,4,1)="D")),LEFT('Journal - Main'!N115,2),Input!$B$6)</f>
        <v>20</v>
      </c>
      <c r="E115" s="32" t="s">
        <v>102</v>
      </c>
      <c r="H115" s="5" t="str">
        <f>IF(D115="",CONCATENATE(C115,'Journal - Main'!D115),"")</f>
        <v>20</v>
      </c>
      <c r="K115" s="12">
        <f>ROUND(_xlfn.NUMBERVALUE('Journal - Main'!G115),2)</f>
        <v>0</v>
      </c>
      <c r="L115" s="6"/>
      <c r="M115" s="6"/>
      <c r="N115" s="6"/>
      <c r="O115" s="6"/>
      <c r="P115" s="6"/>
      <c r="Q115" s="6"/>
      <c r="R115" s="5" t="str">
        <f>CONCATENATE(Input!$B$4," ",Input!$B$5," PAY ",TEXT(Input!$B$7,"DD/MM/YY"))</f>
        <v>VIC FN PAY 21/02/24</v>
      </c>
      <c r="S115" s="5">
        <f>'Journal - Main'!B115</f>
        <v>0</v>
      </c>
      <c r="W115" s="5" t="str">
        <f t="shared" si="4"/>
        <v xml:space="preserve"> </v>
      </c>
    </row>
    <row r="116" spans="1:23" x14ac:dyDescent="0.3">
      <c r="A116" s="3">
        <f t="shared" si="3"/>
        <v>115</v>
      </c>
      <c r="B116" s="4" t="s">
        <v>100</v>
      </c>
      <c r="C116" s="3">
        <f>IF(AND(ISNUMBER(MATCH('Journal - Main'!$E116,Lookups!$K$5:$K$16,0))=FALSE,OR(MID('Journal - Main'!N116,4,1)="C",MID('Journal - Main'!N116,4,1)="D")),LEFT('Journal - Main'!N116,2),Input!$B$6)</f>
        <v>20</v>
      </c>
      <c r="E116" s="32" t="s">
        <v>102</v>
      </c>
      <c r="H116" s="5" t="str">
        <f>IF(D116="",CONCATENATE(C116,'Journal - Main'!D116),"")</f>
        <v>20</v>
      </c>
      <c r="K116" s="12">
        <f>ROUND(_xlfn.NUMBERVALUE('Journal - Main'!G116),2)</f>
        <v>0</v>
      </c>
      <c r="L116" s="6"/>
      <c r="M116" s="6"/>
      <c r="N116" s="6"/>
      <c r="O116" s="6"/>
      <c r="P116" s="6"/>
      <c r="Q116" s="6"/>
      <c r="R116" s="5" t="str">
        <f>CONCATENATE(Input!$B$4," ",Input!$B$5," PAY ",TEXT(Input!$B$7,"DD/MM/YY"))</f>
        <v>VIC FN PAY 21/02/24</v>
      </c>
      <c r="S116" s="5">
        <f>'Journal - Main'!B116</f>
        <v>0</v>
      </c>
      <c r="W116" s="5" t="str">
        <f t="shared" si="4"/>
        <v xml:space="preserve"> </v>
      </c>
    </row>
    <row r="117" spans="1:23" x14ac:dyDescent="0.3">
      <c r="A117" s="3">
        <f t="shared" si="3"/>
        <v>116</v>
      </c>
      <c r="B117" s="4" t="s">
        <v>100</v>
      </c>
      <c r="C117" s="3">
        <f>IF(AND(ISNUMBER(MATCH('Journal - Main'!$E117,Lookups!$K$5:$K$16,0))=FALSE,OR(MID('Journal - Main'!N117,4,1)="C",MID('Journal - Main'!N117,4,1)="D")),LEFT('Journal - Main'!N117,2),Input!$B$6)</f>
        <v>20</v>
      </c>
      <c r="E117" s="32" t="s">
        <v>102</v>
      </c>
      <c r="H117" s="5" t="str">
        <f>IF(D117="",CONCATENATE(C117,'Journal - Main'!D117),"")</f>
        <v>20</v>
      </c>
      <c r="K117" s="12">
        <f>ROUND(_xlfn.NUMBERVALUE('Journal - Main'!G117),2)</f>
        <v>0</v>
      </c>
      <c r="L117" s="6"/>
      <c r="M117" s="6"/>
      <c r="N117" s="6"/>
      <c r="O117" s="6"/>
      <c r="P117" s="6"/>
      <c r="Q117" s="6"/>
      <c r="R117" s="5" t="str">
        <f>CONCATENATE(Input!$B$4," ",Input!$B$5," PAY ",TEXT(Input!$B$7,"DD/MM/YY"))</f>
        <v>VIC FN PAY 21/02/24</v>
      </c>
      <c r="S117" s="5">
        <f>'Journal - Main'!B117</f>
        <v>0</v>
      </c>
      <c r="W117" s="5" t="str">
        <f t="shared" si="4"/>
        <v xml:space="preserve"> </v>
      </c>
    </row>
    <row r="118" spans="1:23" x14ac:dyDescent="0.3">
      <c r="A118" s="3">
        <f t="shared" si="3"/>
        <v>117</v>
      </c>
      <c r="B118" s="4" t="s">
        <v>100</v>
      </c>
      <c r="C118" s="3">
        <f>IF(AND(ISNUMBER(MATCH('Journal - Main'!$E118,Lookups!$K$5:$K$16,0))=FALSE,OR(MID('Journal - Main'!N118,4,1)="C",MID('Journal - Main'!N118,4,1)="D")),LEFT('Journal - Main'!N118,2),Input!$B$6)</f>
        <v>20</v>
      </c>
      <c r="E118" s="32" t="s">
        <v>102</v>
      </c>
      <c r="H118" s="5" t="str">
        <f>IF(D118="",CONCATENATE(C118,'Journal - Main'!D118),"")</f>
        <v>20</v>
      </c>
      <c r="K118" s="12">
        <f>ROUND(_xlfn.NUMBERVALUE('Journal - Main'!G118),2)</f>
        <v>0</v>
      </c>
      <c r="L118" s="6"/>
      <c r="M118" s="6"/>
      <c r="N118" s="6"/>
      <c r="O118" s="6"/>
      <c r="P118" s="6"/>
      <c r="Q118" s="6"/>
      <c r="R118" s="5" t="str">
        <f>CONCATENATE(Input!$B$4," ",Input!$B$5," PAY ",TEXT(Input!$B$7,"DD/MM/YY"))</f>
        <v>VIC FN PAY 21/02/24</v>
      </c>
      <c r="S118" s="5">
        <f>'Journal - Main'!B118</f>
        <v>0</v>
      </c>
      <c r="W118" s="5" t="str">
        <f t="shared" si="4"/>
        <v xml:space="preserve"> </v>
      </c>
    </row>
    <row r="119" spans="1:23" x14ac:dyDescent="0.3">
      <c r="A119" s="3">
        <f t="shared" si="3"/>
        <v>118</v>
      </c>
      <c r="B119" s="4" t="s">
        <v>100</v>
      </c>
      <c r="C119" s="3">
        <f>IF(AND(ISNUMBER(MATCH('Journal - Main'!$E119,Lookups!$K$5:$K$16,0))=FALSE,OR(MID('Journal - Main'!N119,4,1)="C",MID('Journal - Main'!N119,4,1)="D")),LEFT('Journal - Main'!N119,2),Input!$B$6)</f>
        <v>20</v>
      </c>
      <c r="E119" s="32" t="s">
        <v>102</v>
      </c>
      <c r="H119" s="5" t="str">
        <f>IF(D119="",CONCATENATE(C119,'Journal - Main'!D119),"")</f>
        <v>20</v>
      </c>
      <c r="K119" s="12">
        <f>ROUND(_xlfn.NUMBERVALUE('Journal - Main'!G119),2)</f>
        <v>0</v>
      </c>
      <c r="L119" s="6"/>
      <c r="M119" s="6"/>
      <c r="N119" s="6"/>
      <c r="O119" s="6"/>
      <c r="P119" s="6"/>
      <c r="Q119" s="6"/>
      <c r="R119" s="5" t="str">
        <f>CONCATENATE(Input!$B$4," ",Input!$B$5," PAY ",TEXT(Input!$B$7,"DD/MM/YY"))</f>
        <v>VIC FN PAY 21/02/24</v>
      </c>
      <c r="S119" s="5">
        <f>'Journal - Main'!B119</f>
        <v>0</v>
      </c>
      <c r="W119" s="5" t="str">
        <f t="shared" si="4"/>
        <v xml:space="preserve"> </v>
      </c>
    </row>
    <row r="120" spans="1:23" x14ac:dyDescent="0.3">
      <c r="A120" s="3">
        <f t="shared" si="3"/>
        <v>119</v>
      </c>
      <c r="B120" s="4" t="s">
        <v>100</v>
      </c>
      <c r="C120" s="3">
        <f>IF(AND(ISNUMBER(MATCH('Journal - Main'!$E120,Lookups!$K$5:$K$16,0))=FALSE,OR(MID('Journal - Main'!N120,4,1)="C",MID('Journal - Main'!N120,4,1)="D")),LEFT('Journal - Main'!N120,2),Input!$B$6)</f>
        <v>20</v>
      </c>
      <c r="E120" s="32" t="s">
        <v>102</v>
      </c>
      <c r="H120" s="5" t="str">
        <f>IF(D120="",CONCATENATE(C120,'Journal - Main'!D120),"")</f>
        <v>20</v>
      </c>
      <c r="K120" s="12">
        <f>ROUND(_xlfn.NUMBERVALUE('Journal - Main'!G120),2)</f>
        <v>0</v>
      </c>
      <c r="L120" s="6"/>
      <c r="M120" s="6"/>
      <c r="N120" s="6"/>
      <c r="O120" s="6"/>
      <c r="P120" s="6"/>
      <c r="Q120" s="6"/>
      <c r="R120" s="5" t="str">
        <f>CONCATENATE(Input!$B$4," ",Input!$B$5," PAY ",TEXT(Input!$B$7,"DD/MM/YY"))</f>
        <v>VIC FN PAY 21/02/24</v>
      </c>
      <c r="S120" s="5">
        <f>'Journal - Main'!B120</f>
        <v>0</v>
      </c>
      <c r="W120" s="5" t="str">
        <f t="shared" si="4"/>
        <v xml:space="preserve"> </v>
      </c>
    </row>
    <row r="121" spans="1:23" x14ac:dyDescent="0.3">
      <c r="A121" s="3">
        <f t="shared" si="3"/>
        <v>120</v>
      </c>
      <c r="B121" s="4" t="s">
        <v>100</v>
      </c>
      <c r="C121" s="3">
        <f>IF(AND(ISNUMBER(MATCH('Journal - Main'!$E121,Lookups!$K$5:$K$16,0))=FALSE,OR(MID('Journal - Main'!N121,4,1)="C",MID('Journal - Main'!N121,4,1)="D")),LEFT('Journal - Main'!N121,2),Input!$B$6)</f>
        <v>20</v>
      </c>
      <c r="E121" s="32" t="s">
        <v>102</v>
      </c>
      <c r="H121" s="5" t="str">
        <f>IF(D121="",CONCATENATE(C121,'Journal - Main'!D121),"")</f>
        <v>20</v>
      </c>
      <c r="K121" s="12">
        <f>ROUND(_xlfn.NUMBERVALUE('Journal - Main'!G121),2)</f>
        <v>0</v>
      </c>
      <c r="L121" s="6"/>
      <c r="M121" s="6"/>
      <c r="N121" s="6"/>
      <c r="O121" s="6"/>
      <c r="P121" s="6"/>
      <c r="Q121" s="6"/>
      <c r="R121" s="5" t="str">
        <f>CONCATENATE(Input!$B$4," ",Input!$B$5," PAY ",TEXT(Input!$B$7,"DD/MM/YY"))</f>
        <v>VIC FN PAY 21/02/24</v>
      </c>
      <c r="S121" s="5">
        <f>'Journal - Main'!B121</f>
        <v>0</v>
      </c>
      <c r="W121" s="5" t="str">
        <f t="shared" si="4"/>
        <v xml:space="preserve"> </v>
      </c>
    </row>
    <row r="122" spans="1:23" x14ac:dyDescent="0.3">
      <c r="A122" s="3">
        <f t="shared" si="3"/>
        <v>121</v>
      </c>
      <c r="B122" s="4" t="s">
        <v>100</v>
      </c>
      <c r="C122" s="3">
        <f>IF(AND(ISNUMBER(MATCH('Journal - Main'!$E122,Lookups!$K$5:$K$16,0))=FALSE,OR(MID('Journal - Main'!N122,4,1)="C",MID('Journal - Main'!N122,4,1)="D")),LEFT('Journal - Main'!N122,2),Input!$B$6)</f>
        <v>20</v>
      </c>
      <c r="E122" s="32" t="s">
        <v>102</v>
      </c>
      <c r="H122" s="5" t="str">
        <f>IF(D122="",CONCATENATE(C122,'Journal - Main'!D122),"")</f>
        <v>20</v>
      </c>
      <c r="K122" s="12">
        <f>ROUND(_xlfn.NUMBERVALUE('Journal - Main'!G122),2)</f>
        <v>0</v>
      </c>
      <c r="L122" s="6"/>
      <c r="M122" s="6"/>
      <c r="N122" s="6"/>
      <c r="O122" s="6"/>
      <c r="P122" s="6"/>
      <c r="Q122" s="6"/>
      <c r="R122" s="5" t="str">
        <f>CONCATENATE(Input!$B$4," ",Input!$B$5," PAY ",TEXT(Input!$B$7,"DD/MM/YY"))</f>
        <v>VIC FN PAY 21/02/24</v>
      </c>
      <c r="S122" s="5">
        <f>'Journal - Main'!B122</f>
        <v>0</v>
      </c>
      <c r="W122" s="5" t="str">
        <f t="shared" si="4"/>
        <v xml:space="preserve"> </v>
      </c>
    </row>
    <row r="123" spans="1:23" x14ac:dyDescent="0.3">
      <c r="A123" s="3">
        <f t="shared" si="3"/>
        <v>122</v>
      </c>
      <c r="B123" s="4" t="s">
        <v>100</v>
      </c>
      <c r="C123" s="3">
        <f>IF(AND(ISNUMBER(MATCH('Journal - Main'!$E123,Lookups!$K$5:$K$16,0))=FALSE,OR(MID('Journal - Main'!N123,4,1)="C",MID('Journal - Main'!N123,4,1)="D")),LEFT('Journal - Main'!N123,2),Input!$B$6)</f>
        <v>20</v>
      </c>
      <c r="E123" s="32" t="s">
        <v>102</v>
      </c>
      <c r="H123" s="5" t="str">
        <f>IF(D123="",CONCATENATE(C123,'Journal - Main'!D123),"")</f>
        <v>20</v>
      </c>
      <c r="K123" s="12">
        <f>ROUND(_xlfn.NUMBERVALUE('Journal - Main'!G123),2)</f>
        <v>0</v>
      </c>
      <c r="L123" s="6"/>
      <c r="M123" s="6"/>
      <c r="N123" s="6"/>
      <c r="O123" s="6"/>
      <c r="P123" s="6"/>
      <c r="Q123" s="6"/>
      <c r="R123" s="5" t="str">
        <f>CONCATENATE(Input!$B$4," ",Input!$B$5," PAY ",TEXT(Input!$B$7,"DD/MM/YY"))</f>
        <v>VIC FN PAY 21/02/24</v>
      </c>
      <c r="S123" s="5">
        <f>'Journal - Main'!B123</f>
        <v>0</v>
      </c>
      <c r="W123" s="5" t="str">
        <f t="shared" si="4"/>
        <v xml:space="preserve"> </v>
      </c>
    </row>
    <row r="124" spans="1:23" x14ac:dyDescent="0.3">
      <c r="A124" s="3">
        <f t="shared" si="3"/>
        <v>123</v>
      </c>
      <c r="B124" s="4" t="s">
        <v>100</v>
      </c>
      <c r="C124" s="3">
        <f>IF(AND(ISNUMBER(MATCH('Journal - Main'!$E124,Lookups!$K$5:$K$16,0))=FALSE,OR(MID('Journal - Main'!N124,4,1)="C",MID('Journal - Main'!N124,4,1)="D")),LEFT('Journal - Main'!N124,2),Input!$B$6)</f>
        <v>20</v>
      </c>
      <c r="E124" s="32" t="s">
        <v>102</v>
      </c>
      <c r="H124" s="5" t="str">
        <f>IF(D124="",CONCATENATE(C124,'Journal - Main'!D124),"")</f>
        <v>20</v>
      </c>
      <c r="K124" s="12">
        <f>ROUND(_xlfn.NUMBERVALUE('Journal - Main'!G124),2)</f>
        <v>0</v>
      </c>
      <c r="L124" s="6"/>
      <c r="M124" s="6"/>
      <c r="N124" s="6"/>
      <c r="O124" s="6"/>
      <c r="P124" s="6"/>
      <c r="Q124" s="6"/>
      <c r="R124" s="5" t="str">
        <f>CONCATENATE(Input!$B$4," ",Input!$B$5," PAY ",TEXT(Input!$B$7,"DD/MM/YY"))</f>
        <v>VIC FN PAY 21/02/24</v>
      </c>
      <c r="S124" s="5">
        <f>'Journal - Main'!B124</f>
        <v>0</v>
      </c>
      <c r="W124" s="5" t="str">
        <f t="shared" si="4"/>
        <v xml:space="preserve"> </v>
      </c>
    </row>
    <row r="125" spans="1:23" x14ac:dyDescent="0.3">
      <c r="A125" s="3">
        <f t="shared" si="3"/>
        <v>124</v>
      </c>
      <c r="B125" s="4" t="s">
        <v>100</v>
      </c>
      <c r="C125" s="3">
        <f>IF(AND(ISNUMBER(MATCH('Journal - Main'!$E125,Lookups!$K$5:$K$16,0))=FALSE,OR(MID('Journal - Main'!N125,4,1)="C",MID('Journal - Main'!N125,4,1)="D")),LEFT('Journal - Main'!N125,2),Input!$B$6)</f>
        <v>20</v>
      </c>
      <c r="E125" s="32" t="s">
        <v>102</v>
      </c>
      <c r="H125" s="5" t="str">
        <f>IF(D125="",CONCATENATE(C125,'Journal - Main'!D125),"")</f>
        <v>20</v>
      </c>
      <c r="K125" s="12">
        <f>ROUND(_xlfn.NUMBERVALUE('Journal - Main'!G125),2)</f>
        <v>0</v>
      </c>
      <c r="L125" s="6"/>
      <c r="M125" s="6"/>
      <c r="N125" s="6"/>
      <c r="O125" s="6"/>
      <c r="P125" s="6"/>
      <c r="Q125" s="6"/>
      <c r="R125" s="5" t="str">
        <f>CONCATENATE(Input!$B$4," ",Input!$B$5," PAY ",TEXT(Input!$B$7,"DD/MM/YY"))</f>
        <v>VIC FN PAY 21/02/24</v>
      </c>
      <c r="S125" s="5">
        <f>'Journal - Main'!B125</f>
        <v>0</v>
      </c>
      <c r="W125" s="5" t="str">
        <f t="shared" si="4"/>
        <v xml:space="preserve"> </v>
      </c>
    </row>
    <row r="126" spans="1:23" x14ac:dyDescent="0.3">
      <c r="A126" s="3">
        <f t="shared" si="3"/>
        <v>125</v>
      </c>
      <c r="B126" s="4" t="s">
        <v>100</v>
      </c>
      <c r="C126" s="3">
        <f>IF(AND(ISNUMBER(MATCH('Journal - Main'!$E126,Lookups!$K$5:$K$16,0))=FALSE,OR(MID('Journal - Main'!N126,4,1)="C",MID('Journal - Main'!N126,4,1)="D")),LEFT('Journal - Main'!N126,2),Input!$B$6)</f>
        <v>20</v>
      </c>
      <c r="E126" s="32" t="s">
        <v>102</v>
      </c>
      <c r="H126" s="5" t="str">
        <f>IF(D126="",CONCATENATE(C126,'Journal - Main'!D126),"")</f>
        <v>20</v>
      </c>
      <c r="K126" s="12">
        <f>ROUND(_xlfn.NUMBERVALUE('Journal - Main'!G126),2)</f>
        <v>0</v>
      </c>
      <c r="L126" s="6"/>
      <c r="M126" s="6"/>
      <c r="N126" s="6"/>
      <c r="O126" s="6"/>
      <c r="P126" s="6"/>
      <c r="Q126" s="6"/>
      <c r="R126" s="5" t="str">
        <f>CONCATENATE(Input!$B$4," ",Input!$B$5," PAY ",TEXT(Input!$B$7,"DD/MM/YY"))</f>
        <v>VIC FN PAY 21/02/24</v>
      </c>
      <c r="S126" s="5">
        <f>'Journal - Main'!B126</f>
        <v>0</v>
      </c>
      <c r="W126" s="5" t="str">
        <f t="shared" si="4"/>
        <v xml:space="preserve"> </v>
      </c>
    </row>
    <row r="127" spans="1:23" x14ac:dyDescent="0.3">
      <c r="A127" s="3">
        <f t="shared" si="3"/>
        <v>126</v>
      </c>
      <c r="B127" s="4" t="s">
        <v>100</v>
      </c>
      <c r="C127" s="3">
        <f>IF(AND(ISNUMBER(MATCH('Journal - Main'!$E127,Lookups!$K$5:$K$16,0))=FALSE,OR(MID('Journal - Main'!N127,4,1)="C",MID('Journal - Main'!N127,4,1)="D")),LEFT('Journal - Main'!N127,2),Input!$B$6)</f>
        <v>20</v>
      </c>
      <c r="E127" s="32" t="s">
        <v>102</v>
      </c>
      <c r="H127" s="5" t="str">
        <f>IF(D127="",CONCATENATE(C127,'Journal - Main'!D127),"")</f>
        <v>20</v>
      </c>
      <c r="K127" s="12">
        <f>ROUND(_xlfn.NUMBERVALUE('Journal - Main'!G127),2)</f>
        <v>0</v>
      </c>
      <c r="L127" s="6"/>
      <c r="M127" s="6"/>
      <c r="N127" s="6"/>
      <c r="O127" s="6"/>
      <c r="P127" s="6"/>
      <c r="Q127" s="6"/>
      <c r="R127" s="5" t="str">
        <f>CONCATENATE(Input!$B$4," ",Input!$B$5," PAY ",TEXT(Input!$B$7,"DD/MM/YY"))</f>
        <v>VIC FN PAY 21/02/24</v>
      </c>
      <c r="S127" s="5">
        <f>'Journal - Main'!B127</f>
        <v>0</v>
      </c>
      <c r="W127" s="5" t="str">
        <f t="shared" si="4"/>
        <v xml:space="preserve"> </v>
      </c>
    </row>
    <row r="128" spans="1:23" x14ac:dyDescent="0.3">
      <c r="A128" s="3">
        <f t="shared" si="3"/>
        <v>127</v>
      </c>
      <c r="B128" s="4" t="s">
        <v>100</v>
      </c>
      <c r="C128" s="3">
        <f>IF(AND(ISNUMBER(MATCH('Journal - Main'!$E128,Lookups!$K$5:$K$16,0))=FALSE,OR(MID('Journal - Main'!N128,4,1)="C",MID('Journal - Main'!N128,4,1)="D")),LEFT('Journal - Main'!N128,2),Input!$B$6)</f>
        <v>20</v>
      </c>
      <c r="E128" s="32" t="s">
        <v>102</v>
      </c>
      <c r="H128" s="5" t="str">
        <f>IF(D128="",CONCATENATE(C128,'Journal - Main'!D128),"")</f>
        <v>20</v>
      </c>
      <c r="K128" s="12">
        <f>ROUND(_xlfn.NUMBERVALUE('Journal - Main'!G128),2)</f>
        <v>0</v>
      </c>
      <c r="L128" s="6"/>
      <c r="M128" s="6"/>
      <c r="N128" s="6"/>
      <c r="O128" s="6"/>
      <c r="P128" s="6"/>
      <c r="Q128" s="6"/>
      <c r="R128" s="5" t="str">
        <f>CONCATENATE(Input!$B$4," ",Input!$B$5," PAY ",TEXT(Input!$B$7,"DD/MM/YY"))</f>
        <v>VIC FN PAY 21/02/24</v>
      </c>
      <c r="S128" s="5">
        <f>'Journal - Main'!B128</f>
        <v>0</v>
      </c>
      <c r="W128" s="5" t="str">
        <f t="shared" si="4"/>
        <v xml:space="preserve"> </v>
      </c>
    </row>
    <row r="129" spans="1:23" x14ac:dyDescent="0.3">
      <c r="A129" s="3">
        <f t="shared" si="3"/>
        <v>128</v>
      </c>
      <c r="B129" s="4" t="s">
        <v>100</v>
      </c>
      <c r="C129" s="3">
        <f>IF(AND(ISNUMBER(MATCH('Journal - Main'!$E129,Lookups!$K$5:$K$16,0))=FALSE,OR(MID('Journal - Main'!N129,4,1)="C",MID('Journal - Main'!N129,4,1)="D")),LEFT('Journal - Main'!N129,2),Input!$B$6)</f>
        <v>20</v>
      </c>
      <c r="E129" s="32" t="s">
        <v>102</v>
      </c>
      <c r="H129" s="5" t="str">
        <f>IF(D129="",CONCATENATE(C129,'Journal - Main'!D129),"")</f>
        <v>20</v>
      </c>
      <c r="K129" s="12">
        <f>ROUND(_xlfn.NUMBERVALUE('Journal - Main'!G129),2)</f>
        <v>0</v>
      </c>
      <c r="L129" s="6"/>
      <c r="M129" s="6"/>
      <c r="N129" s="6"/>
      <c r="O129" s="6"/>
      <c r="P129" s="6"/>
      <c r="Q129" s="6"/>
      <c r="R129" s="5" t="str">
        <f>CONCATENATE(Input!$B$4," ",Input!$B$5," PAY ",TEXT(Input!$B$7,"DD/MM/YY"))</f>
        <v>VIC FN PAY 21/02/24</v>
      </c>
      <c r="S129" s="5">
        <f>'Journal - Main'!B129</f>
        <v>0</v>
      </c>
      <c r="W129" s="5" t="str">
        <f t="shared" si="4"/>
        <v xml:space="preserve"> </v>
      </c>
    </row>
    <row r="130" spans="1:23" x14ac:dyDescent="0.3">
      <c r="A130" s="3">
        <f t="shared" si="3"/>
        <v>129</v>
      </c>
      <c r="B130" s="4" t="s">
        <v>100</v>
      </c>
      <c r="C130" s="3">
        <f>IF(AND(ISNUMBER(MATCH('Journal - Main'!$E130,Lookups!$K$5:$K$16,0))=FALSE,OR(MID('Journal - Main'!N130,4,1)="C",MID('Journal - Main'!N130,4,1)="D")),LEFT('Journal - Main'!N130,2),Input!$B$6)</f>
        <v>20</v>
      </c>
      <c r="E130" s="32" t="s">
        <v>102</v>
      </c>
      <c r="H130" s="5" t="str">
        <f>IF(D130="",CONCATENATE(C130,'Journal - Main'!D130),"")</f>
        <v>20</v>
      </c>
      <c r="K130" s="12">
        <f>ROUND(_xlfn.NUMBERVALUE('Journal - Main'!G130),2)</f>
        <v>0</v>
      </c>
      <c r="L130" s="6"/>
      <c r="M130" s="6"/>
      <c r="N130" s="6"/>
      <c r="O130" s="6"/>
      <c r="P130" s="6"/>
      <c r="Q130" s="6"/>
      <c r="R130" s="5" t="str">
        <f>CONCATENATE(Input!$B$4," ",Input!$B$5," PAY ",TEXT(Input!$B$7,"DD/MM/YY"))</f>
        <v>VIC FN PAY 21/02/24</v>
      </c>
      <c r="S130" s="5">
        <f>'Journal - Main'!B130</f>
        <v>0</v>
      </c>
      <c r="W130" s="5" t="str">
        <f t="shared" si="4"/>
        <v xml:space="preserve"> </v>
      </c>
    </row>
    <row r="131" spans="1:23" x14ac:dyDescent="0.3">
      <c r="A131" s="3">
        <f t="shared" si="3"/>
        <v>130</v>
      </c>
      <c r="B131" s="4" t="s">
        <v>100</v>
      </c>
      <c r="C131" s="3">
        <f>IF(AND(ISNUMBER(MATCH('Journal - Main'!$E131,Lookups!$K$5:$K$16,0))=FALSE,OR(MID('Journal - Main'!N131,4,1)="C",MID('Journal - Main'!N131,4,1)="D")),LEFT('Journal - Main'!N131,2),Input!$B$6)</f>
        <v>20</v>
      </c>
      <c r="E131" s="32" t="s">
        <v>102</v>
      </c>
      <c r="H131" s="5" t="str">
        <f>IF(D131="",CONCATENATE(C131,'Journal - Main'!D131),"")</f>
        <v>20</v>
      </c>
      <c r="K131" s="12">
        <f>ROUND(_xlfn.NUMBERVALUE('Journal - Main'!G131),2)</f>
        <v>0</v>
      </c>
      <c r="L131" s="6"/>
      <c r="M131" s="6"/>
      <c r="N131" s="6"/>
      <c r="O131" s="6"/>
      <c r="P131" s="6"/>
      <c r="Q131" s="6"/>
      <c r="R131" s="5" t="str">
        <f>CONCATENATE(Input!$B$4," ",Input!$B$5," PAY ",TEXT(Input!$B$7,"DD/MM/YY"))</f>
        <v>VIC FN PAY 21/02/24</v>
      </c>
      <c r="S131" s="5">
        <f>'Journal - Main'!B131</f>
        <v>0</v>
      </c>
      <c r="W131" s="5" t="str">
        <f t="shared" si="4"/>
        <v xml:space="preserve"> </v>
      </c>
    </row>
    <row r="132" spans="1:23" x14ac:dyDescent="0.3">
      <c r="A132" s="3">
        <f t="shared" ref="A132:A195" si="5">+A131+1</f>
        <v>131</v>
      </c>
      <c r="B132" s="4" t="s">
        <v>100</v>
      </c>
      <c r="C132" s="3">
        <f>IF(AND(ISNUMBER(MATCH('Journal - Main'!$E132,Lookups!$K$5:$K$16,0))=FALSE,OR(MID('Journal - Main'!N132,4,1)="C",MID('Journal - Main'!N132,4,1)="D")),LEFT('Journal - Main'!N132,2),Input!$B$6)</f>
        <v>20</v>
      </c>
      <c r="E132" s="32" t="s">
        <v>102</v>
      </c>
      <c r="H132" s="5" t="str">
        <f>IF(D132="",CONCATENATE(C132,'Journal - Main'!D132),"")</f>
        <v>20</v>
      </c>
      <c r="K132" s="12">
        <f>ROUND(_xlfn.NUMBERVALUE('Journal - Main'!G132),2)</f>
        <v>0</v>
      </c>
      <c r="L132" s="6"/>
      <c r="M132" s="6"/>
      <c r="N132" s="6"/>
      <c r="O132" s="6"/>
      <c r="P132" s="6"/>
      <c r="Q132" s="6"/>
      <c r="R132" s="5" t="str">
        <f>CONCATENATE(Input!$B$4," ",Input!$B$5," PAY ",TEXT(Input!$B$7,"DD/MM/YY"))</f>
        <v>VIC FN PAY 21/02/24</v>
      </c>
      <c r="S132" s="5">
        <f>'Journal - Main'!B132</f>
        <v>0</v>
      </c>
      <c r="W132" s="5" t="str">
        <f t="shared" ref="W132:W195" si="6">B132</f>
        <v xml:space="preserve"> </v>
      </c>
    </row>
    <row r="133" spans="1:23" x14ac:dyDescent="0.3">
      <c r="A133" s="3">
        <f t="shared" si="5"/>
        <v>132</v>
      </c>
      <c r="B133" s="4" t="s">
        <v>100</v>
      </c>
      <c r="C133" s="3">
        <f>IF(AND(ISNUMBER(MATCH('Journal - Main'!$E133,Lookups!$K$5:$K$16,0))=FALSE,OR(MID('Journal - Main'!N133,4,1)="C",MID('Journal - Main'!N133,4,1)="D")),LEFT('Journal - Main'!N133,2),Input!$B$6)</f>
        <v>20</v>
      </c>
      <c r="E133" s="32" t="s">
        <v>102</v>
      </c>
      <c r="H133" s="5" t="str">
        <f>IF(D133="",CONCATENATE(C133,'Journal - Main'!D133),"")</f>
        <v>20</v>
      </c>
      <c r="K133" s="12">
        <f>ROUND(_xlfn.NUMBERVALUE('Journal - Main'!G133),2)</f>
        <v>0</v>
      </c>
      <c r="L133" s="6"/>
      <c r="M133" s="6"/>
      <c r="N133" s="6"/>
      <c r="O133" s="6"/>
      <c r="P133" s="6"/>
      <c r="Q133" s="6"/>
      <c r="R133" s="5" t="str">
        <f>CONCATENATE(Input!$B$4," ",Input!$B$5," PAY ",TEXT(Input!$B$7,"DD/MM/YY"))</f>
        <v>VIC FN PAY 21/02/24</v>
      </c>
      <c r="S133" s="5">
        <f>'Journal - Main'!B133</f>
        <v>0</v>
      </c>
      <c r="W133" s="5" t="str">
        <f t="shared" si="6"/>
        <v xml:space="preserve"> </v>
      </c>
    </row>
    <row r="134" spans="1:23" x14ac:dyDescent="0.3">
      <c r="A134" s="3">
        <f t="shared" si="5"/>
        <v>133</v>
      </c>
      <c r="B134" s="4" t="s">
        <v>100</v>
      </c>
      <c r="C134" s="3">
        <f>IF(AND(ISNUMBER(MATCH('Journal - Main'!$E134,Lookups!$K$5:$K$16,0))=FALSE,OR(MID('Journal - Main'!N134,4,1)="C",MID('Journal - Main'!N134,4,1)="D")),LEFT('Journal - Main'!N134,2),Input!$B$6)</f>
        <v>20</v>
      </c>
      <c r="E134" s="32" t="s">
        <v>102</v>
      </c>
      <c r="H134" s="5" t="str">
        <f>IF(D134="",CONCATENATE(C134,'Journal - Main'!D134),"")</f>
        <v>20</v>
      </c>
      <c r="K134" s="12">
        <f>ROUND(_xlfn.NUMBERVALUE('Journal - Main'!G134),2)</f>
        <v>0</v>
      </c>
      <c r="L134" s="6"/>
      <c r="M134" s="6"/>
      <c r="N134" s="6"/>
      <c r="O134" s="6"/>
      <c r="P134" s="6"/>
      <c r="Q134" s="6"/>
      <c r="R134" s="5" t="str">
        <f>CONCATENATE(Input!$B$4," ",Input!$B$5," PAY ",TEXT(Input!$B$7,"DD/MM/YY"))</f>
        <v>VIC FN PAY 21/02/24</v>
      </c>
      <c r="S134" s="5">
        <f>'Journal - Main'!B134</f>
        <v>0</v>
      </c>
      <c r="W134" s="5" t="str">
        <f t="shared" si="6"/>
        <v xml:space="preserve"> </v>
      </c>
    </row>
    <row r="135" spans="1:23" x14ac:dyDescent="0.3">
      <c r="A135" s="3">
        <f t="shared" si="5"/>
        <v>134</v>
      </c>
      <c r="B135" s="4" t="s">
        <v>100</v>
      </c>
      <c r="C135" s="3">
        <f>IF(AND(ISNUMBER(MATCH('Journal - Main'!$E135,Lookups!$K$5:$K$16,0))=FALSE,OR(MID('Journal - Main'!N135,4,1)="C",MID('Journal - Main'!N135,4,1)="D")),LEFT('Journal - Main'!N135,2),Input!$B$6)</f>
        <v>20</v>
      </c>
      <c r="E135" s="32" t="s">
        <v>102</v>
      </c>
      <c r="H135" s="5" t="str">
        <f>IF(D135="",CONCATENATE(C135,'Journal - Main'!D135),"")</f>
        <v>20</v>
      </c>
      <c r="K135" s="12">
        <f>ROUND(_xlfn.NUMBERVALUE('Journal - Main'!G135),2)</f>
        <v>0</v>
      </c>
      <c r="L135" s="6"/>
      <c r="M135" s="6"/>
      <c r="N135" s="6"/>
      <c r="O135" s="6"/>
      <c r="P135" s="6"/>
      <c r="Q135" s="6"/>
      <c r="R135" s="5" t="str">
        <f>CONCATENATE(Input!$B$4," ",Input!$B$5," PAY ",TEXT(Input!$B$7,"DD/MM/YY"))</f>
        <v>VIC FN PAY 21/02/24</v>
      </c>
      <c r="S135" s="5">
        <f>'Journal - Main'!B135</f>
        <v>0</v>
      </c>
      <c r="W135" s="5" t="str">
        <f t="shared" si="6"/>
        <v xml:space="preserve"> </v>
      </c>
    </row>
    <row r="136" spans="1:23" x14ac:dyDescent="0.3">
      <c r="A136" s="3">
        <f t="shared" si="5"/>
        <v>135</v>
      </c>
      <c r="B136" s="4" t="s">
        <v>100</v>
      </c>
      <c r="C136" s="3">
        <f>IF(AND(ISNUMBER(MATCH('Journal - Main'!$E136,Lookups!$K$5:$K$16,0))=FALSE,OR(MID('Journal - Main'!N136,4,1)="C",MID('Journal - Main'!N136,4,1)="D")),LEFT('Journal - Main'!N136,2),Input!$B$6)</f>
        <v>20</v>
      </c>
      <c r="E136" s="32" t="s">
        <v>102</v>
      </c>
      <c r="H136" s="5" t="str">
        <f>IF(D136="",CONCATENATE(C136,'Journal - Main'!D136),"")</f>
        <v>20</v>
      </c>
      <c r="K136" s="12">
        <f>ROUND(_xlfn.NUMBERVALUE('Journal - Main'!G136),2)</f>
        <v>0</v>
      </c>
      <c r="L136" s="6"/>
      <c r="M136" s="6"/>
      <c r="N136" s="6"/>
      <c r="O136" s="6"/>
      <c r="P136" s="6"/>
      <c r="Q136" s="6"/>
      <c r="R136" s="5" t="str">
        <f>CONCATENATE(Input!$B$4," ",Input!$B$5," PAY ",TEXT(Input!$B$7,"DD/MM/YY"))</f>
        <v>VIC FN PAY 21/02/24</v>
      </c>
      <c r="S136" s="5">
        <f>'Journal - Main'!B136</f>
        <v>0</v>
      </c>
      <c r="W136" s="5" t="str">
        <f t="shared" si="6"/>
        <v xml:space="preserve"> </v>
      </c>
    </row>
    <row r="137" spans="1:23" x14ac:dyDescent="0.3">
      <c r="A137" s="3">
        <f t="shared" si="5"/>
        <v>136</v>
      </c>
      <c r="B137" s="4" t="s">
        <v>100</v>
      </c>
      <c r="C137" s="3">
        <f>IF(AND(ISNUMBER(MATCH('Journal - Main'!$E137,Lookups!$K$5:$K$16,0))=FALSE,OR(MID('Journal - Main'!N137,4,1)="C",MID('Journal - Main'!N137,4,1)="D")),LEFT('Journal - Main'!N137,2),Input!$B$6)</f>
        <v>20</v>
      </c>
      <c r="E137" s="32" t="s">
        <v>102</v>
      </c>
      <c r="H137" s="5" t="str">
        <f>IF(D137="",CONCATENATE(C137,'Journal - Main'!D137),"")</f>
        <v>20</v>
      </c>
      <c r="K137" s="12">
        <f>ROUND(_xlfn.NUMBERVALUE('Journal - Main'!G137),2)</f>
        <v>0</v>
      </c>
      <c r="L137" s="6"/>
      <c r="M137" s="6"/>
      <c r="N137" s="6"/>
      <c r="O137" s="6"/>
      <c r="P137" s="6"/>
      <c r="Q137" s="6"/>
      <c r="R137" s="5" t="str">
        <f>CONCATENATE(Input!$B$4," ",Input!$B$5," PAY ",TEXT(Input!$B$7,"DD/MM/YY"))</f>
        <v>VIC FN PAY 21/02/24</v>
      </c>
      <c r="S137" s="5">
        <f>'Journal - Main'!B137</f>
        <v>0</v>
      </c>
      <c r="W137" s="5" t="str">
        <f t="shared" si="6"/>
        <v xml:space="preserve"> </v>
      </c>
    </row>
    <row r="138" spans="1:23" x14ac:dyDescent="0.3">
      <c r="A138" s="3">
        <f t="shared" si="5"/>
        <v>137</v>
      </c>
      <c r="B138" s="4" t="s">
        <v>100</v>
      </c>
      <c r="C138" s="3">
        <f>IF(AND(ISNUMBER(MATCH('Journal - Main'!$E138,Lookups!$K$5:$K$16,0))=FALSE,OR(MID('Journal - Main'!N138,4,1)="C",MID('Journal - Main'!N138,4,1)="D")),LEFT('Journal - Main'!N138,2),Input!$B$6)</f>
        <v>20</v>
      </c>
      <c r="E138" s="32" t="s">
        <v>102</v>
      </c>
      <c r="H138" s="5" t="str">
        <f>IF(D138="",CONCATENATE(C138,'Journal - Main'!D138),"")</f>
        <v>20</v>
      </c>
      <c r="K138" s="12">
        <f>ROUND(_xlfn.NUMBERVALUE('Journal - Main'!G138),2)</f>
        <v>0</v>
      </c>
      <c r="L138" s="6"/>
      <c r="M138" s="6"/>
      <c r="N138" s="6"/>
      <c r="O138" s="6"/>
      <c r="P138" s="6"/>
      <c r="Q138" s="6"/>
      <c r="R138" s="5" t="str">
        <f>CONCATENATE(Input!$B$4," ",Input!$B$5," PAY ",TEXT(Input!$B$7,"DD/MM/YY"))</f>
        <v>VIC FN PAY 21/02/24</v>
      </c>
      <c r="S138" s="5">
        <f>'Journal - Main'!B138</f>
        <v>0</v>
      </c>
      <c r="W138" s="5" t="str">
        <f t="shared" si="6"/>
        <v xml:space="preserve"> </v>
      </c>
    </row>
    <row r="139" spans="1:23" x14ac:dyDescent="0.3">
      <c r="A139" s="3">
        <f t="shared" si="5"/>
        <v>138</v>
      </c>
      <c r="B139" s="4" t="s">
        <v>100</v>
      </c>
      <c r="C139" s="3">
        <f>IF(AND(ISNUMBER(MATCH('Journal - Main'!$E139,Lookups!$K$5:$K$16,0))=FALSE,OR(MID('Journal - Main'!N139,4,1)="C",MID('Journal - Main'!N139,4,1)="D")),LEFT('Journal - Main'!N139,2),Input!$B$6)</f>
        <v>20</v>
      </c>
      <c r="E139" s="32" t="s">
        <v>102</v>
      </c>
      <c r="H139" s="5" t="str">
        <f>IF(D139="",CONCATENATE(C139,'Journal - Main'!D139),"")</f>
        <v>20</v>
      </c>
      <c r="K139" s="12">
        <f>ROUND(_xlfn.NUMBERVALUE('Journal - Main'!G139),2)</f>
        <v>0</v>
      </c>
      <c r="L139" s="6"/>
      <c r="M139" s="6"/>
      <c r="N139" s="6"/>
      <c r="O139" s="6"/>
      <c r="P139" s="6"/>
      <c r="Q139" s="6"/>
      <c r="R139" s="5" t="str">
        <f>CONCATENATE(Input!$B$4," ",Input!$B$5," PAY ",TEXT(Input!$B$7,"DD/MM/YY"))</f>
        <v>VIC FN PAY 21/02/24</v>
      </c>
      <c r="S139" s="5">
        <f>'Journal - Main'!B139</f>
        <v>0</v>
      </c>
      <c r="W139" s="5" t="str">
        <f t="shared" si="6"/>
        <v xml:space="preserve"> </v>
      </c>
    </row>
    <row r="140" spans="1:23" x14ac:dyDescent="0.3">
      <c r="A140" s="3">
        <f t="shared" si="5"/>
        <v>139</v>
      </c>
      <c r="B140" s="4" t="s">
        <v>100</v>
      </c>
      <c r="C140" s="3">
        <f>IF(AND(ISNUMBER(MATCH('Journal - Main'!$E140,Lookups!$K$5:$K$16,0))=FALSE,OR(MID('Journal - Main'!N140,4,1)="C",MID('Journal - Main'!N140,4,1)="D")),LEFT('Journal - Main'!N140,2),Input!$B$6)</f>
        <v>20</v>
      </c>
      <c r="E140" s="32" t="s">
        <v>102</v>
      </c>
      <c r="H140" s="5" t="str">
        <f>IF(D140="",CONCATENATE(C140,'Journal - Main'!D140),"")</f>
        <v>20</v>
      </c>
      <c r="K140" s="12">
        <f>ROUND(_xlfn.NUMBERVALUE('Journal - Main'!G140),2)</f>
        <v>0</v>
      </c>
      <c r="L140" s="6"/>
      <c r="M140" s="6"/>
      <c r="N140" s="6"/>
      <c r="O140" s="6"/>
      <c r="P140" s="6"/>
      <c r="Q140" s="6"/>
      <c r="R140" s="5" t="str">
        <f>CONCATENATE(Input!$B$4," ",Input!$B$5," PAY ",TEXT(Input!$B$7,"DD/MM/YY"))</f>
        <v>VIC FN PAY 21/02/24</v>
      </c>
      <c r="S140" s="5">
        <f>'Journal - Main'!B140</f>
        <v>0</v>
      </c>
      <c r="W140" s="5" t="str">
        <f t="shared" si="6"/>
        <v xml:space="preserve"> </v>
      </c>
    </row>
    <row r="141" spans="1:23" x14ac:dyDescent="0.3">
      <c r="A141" s="3">
        <f t="shared" si="5"/>
        <v>140</v>
      </c>
      <c r="B141" s="4" t="s">
        <v>100</v>
      </c>
      <c r="C141" s="3">
        <f>IF(AND(ISNUMBER(MATCH('Journal - Main'!$E141,Lookups!$K$5:$K$16,0))=FALSE,OR(MID('Journal - Main'!N141,4,1)="C",MID('Journal - Main'!N141,4,1)="D")),LEFT('Journal - Main'!N141,2),Input!$B$6)</f>
        <v>20</v>
      </c>
      <c r="E141" s="32" t="s">
        <v>102</v>
      </c>
      <c r="H141" s="5" t="str">
        <f>IF(D141="",CONCATENATE(C141,'Journal - Main'!D141),"")</f>
        <v>20</v>
      </c>
      <c r="K141" s="12">
        <f>ROUND(_xlfn.NUMBERVALUE('Journal - Main'!G141),2)</f>
        <v>0</v>
      </c>
      <c r="L141" s="6"/>
      <c r="M141" s="6"/>
      <c r="N141" s="6"/>
      <c r="O141" s="6"/>
      <c r="P141" s="6"/>
      <c r="Q141" s="6"/>
      <c r="R141" s="5" t="str">
        <f>CONCATENATE(Input!$B$4," ",Input!$B$5," PAY ",TEXT(Input!$B$7,"DD/MM/YY"))</f>
        <v>VIC FN PAY 21/02/24</v>
      </c>
      <c r="S141" s="5">
        <f>'Journal - Main'!B141</f>
        <v>0</v>
      </c>
      <c r="W141" s="5" t="str">
        <f t="shared" si="6"/>
        <v xml:space="preserve"> </v>
      </c>
    </row>
    <row r="142" spans="1:23" x14ac:dyDescent="0.3">
      <c r="A142" s="3">
        <f t="shared" si="5"/>
        <v>141</v>
      </c>
      <c r="B142" s="4" t="s">
        <v>100</v>
      </c>
      <c r="C142" s="3">
        <f>IF(AND(ISNUMBER(MATCH('Journal - Main'!$E142,Lookups!$K$5:$K$16,0))=FALSE,OR(MID('Journal - Main'!N142,4,1)="C",MID('Journal - Main'!N142,4,1)="D")),LEFT('Journal - Main'!N142,2),Input!$B$6)</f>
        <v>20</v>
      </c>
      <c r="E142" s="32" t="s">
        <v>102</v>
      </c>
      <c r="H142" s="5" t="str">
        <f>IF(D142="",CONCATENATE(C142,'Journal - Main'!D142),"")</f>
        <v>20</v>
      </c>
      <c r="K142" s="12">
        <f>ROUND(_xlfn.NUMBERVALUE('Journal - Main'!G142),2)</f>
        <v>0</v>
      </c>
      <c r="L142" s="6"/>
      <c r="M142" s="6"/>
      <c r="N142" s="6"/>
      <c r="O142" s="6"/>
      <c r="P142" s="6"/>
      <c r="Q142" s="6"/>
      <c r="R142" s="5" t="str">
        <f>CONCATENATE(Input!$B$4," ",Input!$B$5," PAY ",TEXT(Input!$B$7,"DD/MM/YY"))</f>
        <v>VIC FN PAY 21/02/24</v>
      </c>
      <c r="S142" s="5">
        <f>'Journal - Main'!B142</f>
        <v>0</v>
      </c>
      <c r="W142" s="5" t="str">
        <f t="shared" si="6"/>
        <v xml:space="preserve"> </v>
      </c>
    </row>
    <row r="143" spans="1:23" x14ac:dyDescent="0.3">
      <c r="A143" s="3">
        <f t="shared" si="5"/>
        <v>142</v>
      </c>
      <c r="B143" s="4" t="s">
        <v>100</v>
      </c>
      <c r="C143" s="3">
        <f>IF(AND(ISNUMBER(MATCH('Journal - Main'!$E143,Lookups!$K$5:$K$16,0))=FALSE,OR(MID('Journal - Main'!N143,4,1)="C",MID('Journal - Main'!N143,4,1)="D")),LEFT('Journal - Main'!N143,2),Input!$B$6)</f>
        <v>20</v>
      </c>
      <c r="E143" s="32" t="s">
        <v>102</v>
      </c>
      <c r="H143" s="5" t="str">
        <f>IF(D143="",CONCATENATE(C143,'Journal - Main'!D143),"")</f>
        <v>20</v>
      </c>
      <c r="K143" s="12">
        <f>ROUND(_xlfn.NUMBERVALUE('Journal - Main'!G143),2)</f>
        <v>0</v>
      </c>
      <c r="L143" s="6"/>
      <c r="M143" s="6"/>
      <c r="N143" s="6"/>
      <c r="O143" s="6"/>
      <c r="P143" s="6"/>
      <c r="Q143" s="6"/>
      <c r="R143" s="5" t="str">
        <f>CONCATENATE(Input!$B$4," ",Input!$B$5," PAY ",TEXT(Input!$B$7,"DD/MM/YY"))</f>
        <v>VIC FN PAY 21/02/24</v>
      </c>
      <c r="S143" s="5">
        <f>'Journal - Main'!B143</f>
        <v>0</v>
      </c>
      <c r="W143" s="5" t="str">
        <f t="shared" si="6"/>
        <v xml:space="preserve"> </v>
      </c>
    </row>
    <row r="144" spans="1:23" x14ac:dyDescent="0.3">
      <c r="A144" s="3">
        <f t="shared" si="5"/>
        <v>143</v>
      </c>
      <c r="B144" s="4" t="s">
        <v>100</v>
      </c>
      <c r="C144" s="3">
        <f>IF(AND(ISNUMBER(MATCH('Journal - Main'!$E144,Lookups!$K$5:$K$16,0))=FALSE,OR(MID('Journal - Main'!N144,4,1)="C",MID('Journal - Main'!N144,4,1)="D")),LEFT('Journal - Main'!N144,2),Input!$B$6)</f>
        <v>20</v>
      </c>
      <c r="E144" s="32" t="s">
        <v>102</v>
      </c>
      <c r="H144" s="5" t="str">
        <f>IF(D144="",CONCATENATE(C144,'Journal - Main'!D144),"")</f>
        <v>20</v>
      </c>
      <c r="K144" s="12">
        <f>ROUND(_xlfn.NUMBERVALUE('Journal - Main'!G144),2)</f>
        <v>0</v>
      </c>
      <c r="L144" s="6"/>
      <c r="M144" s="6"/>
      <c r="N144" s="6"/>
      <c r="O144" s="6"/>
      <c r="P144" s="6"/>
      <c r="Q144" s="6"/>
      <c r="R144" s="5" t="str">
        <f>CONCATENATE(Input!$B$4," ",Input!$B$5," PAY ",TEXT(Input!$B$7,"DD/MM/YY"))</f>
        <v>VIC FN PAY 21/02/24</v>
      </c>
      <c r="S144" s="5">
        <f>'Journal - Main'!B144</f>
        <v>0</v>
      </c>
      <c r="W144" s="5" t="str">
        <f t="shared" si="6"/>
        <v xml:space="preserve"> </v>
      </c>
    </row>
    <row r="145" spans="1:23" x14ac:dyDescent="0.3">
      <c r="A145" s="3">
        <f t="shared" si="5"/>
        <v>144</v>
      </c>
      <c r="B145" s="4" t="s">
        <v>100</v>
      </c>
      <c r="C145" s="3">
        <f>IF(AND(ISNUMBER(MATCH('Journal - Main'!$E145,Lookups!$K$5:$K$16,0))=FALSE,OR(MID('Journal - Main'!N145,4,1)="C",MID('Journal - Main'!N145,4,1)="D")),LEFT('Journal - Main'!N145,2),Input!$B$6)</f>
        <v>20</v>
      </c>
      <c r="E145" s="32" t="s">
        <v>102</v>
      </c>
      <c r="H145" s="5" t="str">
        <f>IF(D145="",CONCATENATE(C145,'Journal - Main'!D145),"")</f>
        <v>20</v>
      </c>
      <c r="K145" s="12">
        <f>ROUND(_xlfn.NUMBERVALUE('Journal - Main'!G145),2)</f>
        <v>0</v>
      </c>
      <c r="L145" s="6"/>
      <c r="M145" s="6"/>
      <c r="N145" s="6"/>
      <c r="O145" s="6"/>
      <c r="P145" s="6"/>
      <c r="Q145" s="6"/>
      <c r="R145" s="5" t="str">
        <f>CONCATENATE(Input!$B$4," ",Input!$B$5," PAY ",TEXT(Input!$B$7,"DD/MM/YY"))</f>
        <v>VIC FN PAY 21/02/24</v>
      </c>
      <c r="S145" s="5">
        <f>'Journal - Main'!B145</f>
        <v>0</v>
      </c>
      <c r="W145" s="5" t="str">
        <f t="shared" si="6"/>
        <v xml:space="preserve"> </v>
      </c>
    </row>
    <row r="146" spans="1:23" x14ac:dyDescent="0.3">
      <c r="A146" s="3">
        <f t="shared" si="5"/>
        <v>145</v>
      </c>
      <c r="B146" s="4" t="s">
        <v>100</v>
      </c>
      <c r="C146" s="3">
        <f>IF(AND(ISNUMBER(MATCH('Journal - Main'!$E146,Lookups!$K$5:$K$16,0))=FALSE,OR(MID('Journal - Main'!N146,4,1)="C",MID('Journal - Main'!N146,4,1)="D")),LEFT('Journal - Main'!N146,2),Input!$B$6)</f>
        <v>20</v>
      </c>
      <c r="E146" s="32" t="s">
        <v>102</v>
      </c>
      <c r="H146" s="5" t="str">
        <f>IF(D146="",CONCATENATE(C146,'Journal - Main'!D146),"")</f>
        <v>20</v>
      </c>
      <c r="K146" s="12">
        <f>ROUND(_xlfn.NUMBERVALUE('Journal - Main'!G146),2)</f>
        <v>0</v>
      </c>
      <c r="L146" s="6"/>
      <c r="M146" s="6"/>
      <c r="N146" s="6"/>
      <c r="O146" s="6"/>
      <c r="P146" s="6"/>
      <c r="Q146" s="6"/>
      <c r="R146" s="5" t="str">
        <f>CONCATENATE(Input!$B$4," ",Input!$B$5," PAY ",TEXT(Input!$B$7,"DD/MM/YY"))</f>
        <v>VIC FN PAY 21/02/24</v>
      </c>
      <c r="S146" s="5">
        <f>'Journal - Main'!B146</f>
        <v>0</v>
      </c>
      <c r="W146" s="5" t="str">
        <f t="shared" si="6"/>
        <v xml:space="preserve"> </v>
      </c>
    </row>
    <row r="147" spans="1:23" x14ac:dyDescent="0.3">
      <c r="A147" s="3">
        <f t="shared" si="5"/>
        <v>146</v>
      </c>
      <c r="B147" s="4" t="s">
        <v>100</v>
      </c>
      <c r="C147" s="3">
        <f>IF(AND(ISNUMBER(MATCH('Journal - Main'!$E147,Lookups!$K$5:$K$16,0))=FALSE,OR(MID('Journal - Main'!N147,4,1)="C",MID('Journal - Main'!N147,4,1)="D")),LEFT('Journal - Main'!N147,2),Input!$B$6)</f>
        <v>20</v>
      </c>
      <c r="E147" s="32" t="s">
        <v>102</v>
      </c>
      <c r="H147" s="5" t="str">
        <f>IF(D147="",CONCATENATE(C147,'Journal - Main'!D147),"")</f>
        <v>20</v>
      </c>
      <c r="K147" s="12">
        <f>ROUND(_xlfn.NUMBERVALUE('Journal - Main'!G147),2)</f>
        <v>0</v>
      </c>
      <c r="L147" s="6"/>
      <c r="M147" s="6"/>
      <c r="N147" s="6"/>
      <c r="O147" s="6"/>
      <c r="P147" s="6"/>
      <c r="Q147" s="6"/>
      <c r="R147" s="5" t="str">
        <f>CONCATENATE(Input!$B$4," ",Input!$B$5," PAY ",TEXT(Input!$B$7,"DD/MM/YY"))</f>
        <v>VIC FN PAY 21/02/24</v>
      </c>
      <c r="S147" s="5">
        <f>'Journal - Main'!B147</f>
        <v>0</v>
      </c>
      <c r="W147" s="5" t="str">
        <f t="shared" si="6"/>
        <v xml:space="preserve"> </v>
      </c>
    </row>
    <row r="148" spans="1:23" x14ac:dyDescent="0.3">
      <c r="A148" s="3">
        <f t="shared" si="5"/>
        <v>147</v>
      </c>
      <c r="B148" s="4" t="s">
        <v>100</v>
      </c>
      <c r="C148" s="3">
        <f>IF(AND(ISNUMBER(MATCH('Journal - Main'!$E148,Lookups!$K$5:$K$16,0))=FALSE,OR(MID('Journal - Main'!N148,4,1)="C",MID('Journal - Main'!N148,4,1)="D")),LEFT('Journal - Main'!N148,2),Input!$B$6)</f>
        <v>20</v>
      </c>
      <c r="E148" s="32" t="s">
        <v>102</v>
      </c>
      <c r="H148" s="5" t="str">
        <f>IF(D148="",CONCATENATE(C148,'Journal - Main'!D148),"")</f>
        <v>20</v>
      </c>
      <c r="K148" s="12">
        <f>ROUND(_xlfn.NUMBERVALUE('Journal - Main'!G148),2)</f>
        <v>0</v>
      </c>
      <c r="L148" s="6"/>
      <c r="M148" s="6"/>
      <c r="N148" s="6"/>
      <c r="O148" s="6"/>
      <c r="P148" s="6"/>
      <c r="Q148" s="6"/>
      <c r="R148" s="5" t="str">
        <f>CONCATENATE(Input!$B$4," ",Input!$B$5," PAY ",TEXT(Input!$B$7,"DD/MM/YY"))</f>
        <v>VIC FN PAY 21/02/24</v>
      </c>
      <c r="S148" s="5">
        <f>'Journal - Main'!B148</f>
        <v>0</v>
      </c>
      <c r="W148" s="5" t="str">
        <f t="shared" si="6"/>
        <v xml:space="preserve"> </v>
      </c>
    </row>
    <row r="149" spans="1:23" x14ac:dyDescent="0.3">
      <c r="A149" s="3">
        <f t="shared" si="5"/>
        <v>148</v>
      </c>
      <c r="B149" s="4" t="s">
        <v>100</v>
      </c>
      <c r="C149" s="3">
        <f>IF(AND(ISNUMBER(MATCH('Journal - Main'!$E149,Lookups!$K$5:$K$16,0))=FALSE,OR(MID('Journal - Main'!N149,4,1)="C",MID('Journal - Main'!N149,4,1)="D")),LEFT('Journal - Main'!N149,2),Input!$B$6)</f>
        <v>20</v>
      </c>
      <c r="E149" s="32" t="s">
        <v>102</v>
      </c>
      <c r="H149" s="5" t="str">
        <f>IF(D149="",CONCATENATE(C149,'Journal - Main'!D149),"")</f>
        <v>20</v>
      </c>
      <c r="K149" s="12">
        <f>ROUND(_xlfn.NUMBERVALUE('Journal - Main'!G149),2)</f>
        <v>0</v>
      </c>
      <c r="L149" s="6"/>
      <c r="M149" s="6"/>
      <c r="N149" s="6"/>
      <c r="O149" s="6"/>
      <c r="P149" s="6"/>
      <c r="Q149" s="6"/>
      <c r="R149" s="5" t="str">
        <f>CONCATENATE(Input!$B$4," ",Input!$B$5," PAY ",TEXT(Input!$B$7,"DD/MM/YY"))</f>
        <v>VIC FN PAY 21/02/24</v>
      </c>
      <c r="S149" s="5">
        <f>'Journal - Main'!B149</f>
        <v>0</v>
      </c>
      <c r="W149" s="5" t="str">
        <f t="shared" si="6"/>
        <v xml:space="preserve"> </v>
      </c>
    </row>
    <row r="150" spans="1:23" x14ac:dyDescent="0.3">
      <c r="A150" s="3">
        <f t="shared" si="5"/>
        <v>149</v>
      </c>
      <c r="B150" s="4" t="s">
        <v>100</v>
      </c>
      <c r="C150" s="3">
        <f>IF(AND(ISNUMBER(MATCH('Journal - Main'!$E150,Lookups!$K$5:$K$16,0))=FALSE,OR(MID('Journal - Main'!N150,4,1)="C",MID('Journal - Main'!N150,4,1)="D")),LEFT('Journal - Main'!N150,2),Input!$B$6)</f>
        <v>20</v>
      </c>
      <c r="E150" s="32" t="s">
        <v>102</v>
      </c>
      <c r="H150" s="5" t="str">
        <f>IF(D150="",CONCATENATE(C150,'Journal - Main'!D150),"")</f>
        <v>20</v>
      </c>
      <c r="K150" s="12">
        <f>ROUND(_xlfn.NUMBERVALUE('Journal - Main'!G150),2)</f>
        <v>0</v>
      </c>
      <c r="L150" s="6"/>
      <c r="M150" s="6"/>
      <c r="N150" s="6"/>
      <c r="O150" s="6"/>
      <c r="P150" s="6"/>
      <c r="Q150" s="6"/>
      <c r="R150" s="5" t="str">
        <f>CONCATENATE(Input!$B$4," ",Input!$B$5," PAY ",TEXT(Input!$B$7,"DD/MM/YY"))</f>
        <v>VIC FN PAY 21/02/24</v>
      </c>
      <c r="S150" s="5">
        <f>'Journal - Main'!B150</f>
        <v>0</v>
      </c>
      <c r="W150" s="5" t="str">
        <f t="shared" si="6"/>
        <v xml:space="preserve"> </v>
      </c>
    </row>
    <row r="151" spans="1:23" x14ac:dyDescent="0.3">
      <c r="A151" s="3">
        <f t="shared" si="5"/>
        <v>150</v>
      </c>
      <c r="B151" s="4" t="s">
        <v>100</v>
      </c>
      <c r="C151" s="3">
        <f>IF(AND(ISNUMBER(MATCH('Journal - Main'!$E151,Lookups!$K$5:$K$16,0))=FALSE,OR(MID('Journal - Main'!N151,4,1)="C",MID('Journal - Main'!N151,4,1)="D")),LEFT('Journal - Main'!N151,2),Input!$B$6)</f>
        <v>20</v>
      </c>
      <c r="E151" s="32" t="s">
        <v>102</v>
      </c>
      <c r="H151" s="5" t="str">
        <f>IF(D151="",CONCATENATE(C151,'Journal - Main'!D151),"")</f>
        <v>20</v>
      </c>
      <c r="K151" s="12">
        <f>ROUND(_xlfn.NUMBERVALUE('Journal - Main'!G151),2)</f>
        <v>0</v>
      </c>
      <c r="L151" s="6"/>
      <c r="M151" s="6"/>
      <c r="N151" s="6"/>
      <c r="O151" s="6"/>
      <c r="P151" s="6"/>
      <c r="Q151" s="6"/>
      <c r="R151" s="5" t="str">
        <f>CONCATENATE(Input!$B$4," ",Input!$B$5," PAY ",TEXT(Input!$B$7,"DD/MM/YY"))</f>
        <v>VIC FN PAY 21/02/24</v>
      </c>
      <c r="S151" s="5">
        <f>'Journal - Main'!B151</f>
        <v>0</v>
      </c>
      <c r="W151" s="5" t="str">
        <f t="shared" si="6"/>
        <v xml:space="preserve"> </v>
      </c>
    </row>
    <row r="152" spans="1:23" x14ac:dyDescent="0.3">
      <c r="A152" s="3">
        <f t="shared" si="5"/>
        <v>151</v>
      </c>
      <c r="B152" s="4" t="s">
        <v>100</v>
      </c>
      <c r="C152" s="3">
        <f>IF(AND(ISNUMBER(MATCH('Journal - Main'!$E152,Lookups!$K$5:$K$16,0))=FALSE,OR(MID('Journal - Main'!N152,4,1)="C",MID('Journal - Main'!N152,4,1)="D")),LEFT('Journal - Main'!N152,2),Input!$B$6)</f>
        <v>20</v>
      </c>
      <c r="E152" s="32" t="s">
        <v>102</v>
      </c>
      <c r="H152" s="5" t="str">
        <f>IF(D152="",CONCATENATE(C152,'Journal - Main'!D152),"")</f>
        <v>20</v>
      </c>
      <c r="K152" s="12">
        <f>ROUND(_xlfn.NUMBERVALUE('Journal - Main'!G152),2)</f>
        <v>0</v>
      </c>
      <c r="L152" s="6"/>
      <c r="M152" s="6"/>
      <c r="N152" s="6"/>
      <c r="O152" s="6"/>
      <c r="P152" s="6"/>
      <c r="Q152" s="6"/>
      <c r="R152" s="5" t="str">
        <f>CONCATENATE(Input!$B$4," ",Input!$B$5," PAY ",TEXT(Input!$B$7,"DD/MM/YY"))</f>
        <v>VIC FN PAY 21/02/24</v>
      </c>
      <c r="S152" s="5">
        <f>'Journal - Main'!B152</f>
        <v>0</v>
      </c>
      <c r="W152" s="5" t="str">
        <f t="shared" si="6"/>
        <v xml:space="preserve"> </v>
      </c>
    </row>
    <row r="153" spans="1:23" x14ac:dyDescent="0.3">
      <c r="A153" s="3">
        <f t="shared" si="5"/>
        <v>152</v>
      </c>
      <c r="B153" s="4" t="s">
        <v>100</v>
      </c>
      <c r="C153" s="3">
        <f>IF(AND(ISNUMBER(MATCH('Journal - Main'!$E153,Lookups!$K$5:$K$16,0))=FALSE,OR(MID('Journal - Main'!N153,4,1)="C",MID('Journal - Main'!N153,4,1)="D")),LEFT('Journal - Main'!N153,2),Input!$B$6)</f>
        <v>20</v>
      </c>
      <c r="E153" s="32" t="s">
        <v>102</v>
      </c>
      <c r="H153" s="5" t="str">
        <f>IF(D153="",CONCATENATE(C153,'Journal - Main'!D153),"")</f>
        <v>20</v>
      </c>
      <c r="K153" s="12">
        <f>ROUND(_xlfn.NUMBERVALUE('Journal - Main'!G153),2)</f>
        <v>0</v>
      </c>
      <c r="L153" s="6"/>
      <c r="M153" s="6"/>
      <c r="N153" s="6"/>
      <c r="O153" s="6"/>
      <c r="P153" s="6"/>
      <c r="Q153" s="6"/>
      <c r="R153" s="5" t="str">
        <f>CONCATENATE(Input!$B$4," ",Input!$B$5," PAY ",TEXT(Input!$B$7,"DD/MM/YY"))</f>
        <v>VIC FN PAY 21/02/24</v>
      </c>
      <c r="S153" s="5">
        <f>'Journal - Main'!B153</f>
        <v>0</v>
      </c>
      <c r="W153" s="5" t="str">
        <f t="shared" si="6"/>
        <v xml:space="preserve"> </v>
      </c>
    </row>
    <row r="154" spans="1:23" x14ac:dyDescent="0.3">
      <c r="A154" s="3">
        <f t="shared" si="5"/>
        <v>153</v>
      </c>
      <c r="B154" s="4" t="s">
        <v>100</v>
      </c>
      <c r="C154" s="3">
        <f>IF(AND(ISNUMBER(MATCH('Journal - Main'!$E154,Lookups!$K$5:$K$16,0))=FALSE,OR(MID('Journal - Main'!N154,4,1)="C",MID('Journal - Main'!N154,4,1)="D")),LEFT('Journal - Main'!N154,2),Input!$B$6)</f>
        <v>20</v>
      </c>
      <c r="E154" s="32" t="s">
        <v>102</v>
      </c>
      <c r="H154" s="5" t="str">
        <f>IF(D154="",CONCATENATE(C154,'Journal - Main'!D154),"")</f>
        <v>20</v>
      </c>
      <c r="K154" s="12">
        <f>ROUND(_xlfn.NUMBERVALUE('Journal - Main'!G154),2)</f>
        <v>0</v>
      </c>
      <c r="L154" s="6"/>
      <c r="M154" s="6"/>
      <c r="N154" s="6"/>
      <c r="O154" s="6"/>
      <c r="P154" s="6"/>
      <c r="Q154" s="6"/>
      <c r="R154" s="5" t="str">
        <f>CONCATENATE(Input!$B$4," ",Input!$B$5," PAY ",TEXT(Input!$B$7,"DD/MM/YY"))</f>
        <v>VIC FN PAY 21/02/24</v>
      </c>
      <c r="S154" s="5">
        <f>'Journal - Main'!B154</f>
        <v>0</v>
      </c>
      <c r="W154" s="5" t="str">
        <f t="shared" si="6"/>
        <v xml:space="preserve"> </v>
      </c>
    </row>
    <row r="155" spans="1:23" x14ac:dyDescent="0.3">
      <c r="A155" s="3">
        <f t="shared" si="5"/>
        <v>154</v>
      </c>
      <c r="B155" s="4" t="s">
        <v>100</v>
      </c>
      <c r="C155" s="3">
        <f>IF(AND(ISNUMBER(MATCH('Journal - Main'!$E155,Lookups!$K$5:$K$16,0))=FALSE,OR(MID('Journal - Main'!N155,4,1)="C",MID('Journal - Main'!N155,4,1)="D")),LEFT('Journal - Main'!N155,2),Input!$B$6)</f>
        <v>20</v>
      </c>
      <c r="E155" s="32" t="s">
        <v>102</v>
      </c>
      <c r="H155" s="5" t="str">
        <f>IF(D155="",CONCATENATE(C155,'Journal - Main'!D155),"")</f>
        <v>20</v>
      </c>
      <c r="K155" s="12">
        <f>ROUND(_xlfn.NUMBERVALUE('Journal - Main'!G155),2)</f>
        <v>0</v>
      </c>
      <c r="L155" s="6"/>
      <c r="M155" s="6"/>
      <c r="N155" s="6"/>
      <c r="O155" s="6"/>
      <c r="P155" s="6"/>
      <c r="Q155" s="6"/>
      <c r="R155" s="5" t="str">
        <f>CONCATENATE(Input!$B$4," ",Input!$B$5," PAY ",TEXT(Input!$B$7,"DD/MM/YY"))</f>
        <v>VIC FN PAY 21/02/24</v>
      </c>
      <c r="S155" s="5">
        <f>'Journal - Main'!B155</f>
        <v>0</v>
      </c>
      <c r="W155" s="5" t="str">
        <f t="shared" si="6"/>
        <v xml:space="preserve"> </v>
      </c>
    </row>
    <row r="156" spans="1:23" x14ac:dyDescent="0.3">
      <c r="A156" s="3">
        <f t="shared" si="5"/>
        <v>155</v>
      </c>
      <c r="B156" s="4" t="s">
        <v>100</v>
      </c>
      <c r="C156" s="3">
        <f>IF(AND(ISNUMBER(MATCH('Journal - Main'!$E156,Lookups!$K$5:$K$16,0))=FALSE,OR(MID('Journal - Main'!N156,4,1)="C",MID('Journal - Main'!N156,4,1)="D")),LEFT('Journal - Main'!N156,2),Input!$B$6)</f>
        <v>20</v>
      </c>
      <c r="E156" s="32" t="s">
        <v>102</v>
      </c>
      <c r="H156" s="5" t="str">
        <f>IF(D156="",CONCATENATE(C156,'Journal - Main'!D156),"")</f>
        <v>20</v>
      </c>
      <c r="K156" s="12">
        <f>ROUND(_xlfn.NUMBERVALUE('Journal - Main'!G156),2)</f>
        <v>0</v>
      </c>
      <c r="L156" s="6"/>
      <c r="M156" s="6"/>
      <c r="N156" s="6"/>
      <c r="O156" s="6"/>
      <c r="P156" s="6"/>
      <c r="Q156" s="6"/>
      <c r="R156" s="5" t="str">
        <f>CONCATENATE(Input!$B$4," ",Input!$B$5," PAY ",TEXT(Input!$B$7,"DD/MM/YY"))</f>
        <v>VIC FN PAY 21/02/24</v>
      </c>
      <c r="S156" s="5">
        <f>'Journal - Main'!B156</f>
        <v>0</v>
      </c>
      <c r="W156" s="5" t="str">
        <f t="shared" si="6"/>
        <v xml:space="preserve"> </v>
      </c>
    </row>
    <row r="157" spans="1:23" x14ac:dyDescent="0.3">
      <c r="A157" s="3">
        <f t="shared" si="5"/>
        <v>156</v>
      </c>
      <c r="B157" s="4" t="s">
        <v>100</v>
      </c>
      <c r="C157" s="3">
        <f>IF(AND(ISNUMBER(MATCH('Journal - Main'!$E157,Lookups!$K$5:$K$16,0))=FALSE,OR(MID('Journal - Main'!N157,4,1)="C",MID('Journal - Main'!N157,4,1)="D")),LEFT('Journal - Main'!N157,2),Input!$B$6)</f>
        <v>20</v>
      </c>
      <c r="E157" s="32" t="s">
        <v>102</v>
      </c>
      <c r="H157" s="5" t="str">
        <f>IF(D157="",CONCATENATE(C157,'Journal - Main'!D157),"")</f>
        <v>20</v>
      </c>
      <c r="K157" s="12">
        <f>ROUND(_xlfn.NUMBERVALUE('Journal - Main'!G157),2)</f>
        <v>0</v>
      </c>
      <c r="L157" s="6"/>
      <c r="M157" s="6"/>
      <c r="N157" s="6"/>
      <c r="O157" s="6"/>
      <c r="P157" s="6"/>
      <c r="Q157" s="6"/>
      <c r="R157" s="5" t="str">
        <f>CONCATENATE(Input!$B$4," ",Input!$B$5," PAY ",TEXT(Input!$B$7,"DD/MM/YY"))</f>
        <v>VIC FN PAY 21/02/24</v>
      </c>
      <c r="S157" s="5">
        <f>'Journal - Main'!B157</f>
        <v>0</v>
      </c>
      <c r="W157" s="5" t="str">
        <f t="shared" si="6"/>
        <v xml:space="preserve"> </v>
      </c>
    </row>
    <row r="158" spans="1:23" x14ac:dyDescent="0.3">
      <c r="A158" s="3">
        <f t="shared" si="5"/>
        <v>157</v>
      </c>
      <c r="B158" s="4" t="s">
        <v>100</v>
      </c>
      <c r="C158" s="3">
        <f>IF(AND(ISNUMBER(MATCH('Journal - Main'!$E158,Lookups!$K$5:$K$16,0))=FALSE,OR(MID('Journal - Main'!N158,4,1)="C",MID('Journal - Main'!N158,4,1)="D")),LEFT('Journal - Main'!N158,2),Input!$B$6)</f>
        <v>20</v>
      </c>
      <c r="E158" s="32" t="s">
        <v>102</v>
      </c>
      <c r="H158" s="5" t="str">
        <f>IF(D158="",CONCATENATE(C158,'Journal - Main'!D158),"")</f>
        <v>20</v>
      </c>
      <c r="K158" s="12">
        <f>ROUND(_xlfn.NUMBERVALUE('Journal - Main'!G158),2)</f>
        <v>0</v>
      </c>
      <c r="L158" s="6"/>
      <c r="M158" s="6"/>
      <c r="N158" s="6"/>
      <c r="O158" s="6"/>
      <c r="P158" s="6"/>
      <c r="Q158" s="6"/>
      <c r="R158" s="5" t="str">
        <f>CONCATENATE(Input!$B$4," ",Input!$B$5," PAY ",TEXT(Input!$B$7,"DD/MM/YY"))</f>
        <v>VIC FN PAY 21/02/24</v>
      </c>
      <c r="S158" s="5">
        <f>'Journal - Main'!B158</f>
        <v>0</v>
      </c>
      <c r="W158" s="5" t="str">
        <f t="shared" si="6"/>
        <v xml:space="preserve"> </v>
      </c>
    </row>
    <row r="159" spans="1:23" x14ac:dyDescent="0.3">
      <c r="A159" s="3">
        <f t="shared" si="5"/>
        <v>158</v>
      </c>
      <c r="B159" s="4" t="s">
        <v>100</v>
      </c>
      <c r="C159" s="3">
        <f>IF(AND(ISNUMBER(MATCH('Journal - Main'!$E159,Lookups!$K$5:$K$16,0))=FALSE,OR(MID('Journal - Main'!N159,4,1)="C",MID('Journal - Main'!N159,4,1)="D")),LEFT('Journal - Main'!N159,2),Input!$B$6)</f>
        <v>20</v>
      </c>
      <c r="E159" s="32" t="s">
        <v>102</v>
      </c>
      <c r="H159" s="5" t="str">
        <f>IF(D159="",CONCATENATE(C159,'Journal - Main'!D159),"")</f>
        <v>20</v>
      </c>
      <c r="K159" s="12">
        <f>ROUND(_xlfn.NUMBERVALUE('Journal - Main'!G159),2)</f>
        <v>0</v>
      </c>
      <c r="L159" s="6"/>
      <c r="M159" s="6"/>
      <c r="N159" s="6"/>
      <c r="O159" s="6"/>
      <c r="P159" s="6"/>
      <c r="Q159" s="6"/>
      <c r="R159" s="5" t="str">
        <f>CONCATENATE(Input!$B$4," ",Input!$B$5," PAY ",TEXT(Input!$B$7,"DD/MM/YY"))</f>
        <v>VIC FN PAY 21/02/24</v>
      </c>
      <c r="S159" s="5">
        <f>'Journal - Main'!B159</f>
        <v>0</v>
      </c>
      <c r="W159" s="5" t="str">
        <f t="shared" si="6"/>
        <v xml:space="preserve"> </v>
      </c>
    </row>
    <row r="160" spans="1:23" x14ac:dyDescent="0.3">
      <c r="A160" s="3">
        <f t="shared" si="5"/>
        <v>159</v>
      </c>
      <c r="B160" s="4" t="s">
        <v>100</v>
      </c>
      <c r="C160" s="3">
        <f>IF(AND(ISNUMBER(MATCH('Journal - Main'!$E160,Lookups!$K$5:$K$16,0))=FALSE,OR(MID('Journal - Main'!N160,4,1)="C",MID('Journal - Main'!N160,4,1)="D")),LEFT('Journal - Main'!N160,2),Input!$B$6)</f>
        <v>20</v>
      </c>
      <c r="E160" s="32" t="s">
        <v>102</v>
      </c>
      <c r="H160" s="5" t="str">
        <f>IF(D160="",CONCATENATE(C160,'Journal - Main'!D160),"")</f>
        <v>20</v>
      </c>
      <c r="K160" s="12">
        <f>ROUND(_xlfn.NUMBERVALUE('Journal - Main'!G160),2)</f>
        <v>0</v>
      </c>
      <c r="L160" s="6"/>
      <c r="M160" s="6"/>
      <c r="N160" s="6"/>
      <c r="O160" s="6"/>
      <c r="P160" s="6"/>
      <c r="Q160" s="6"/>
      <c r="R160" s="5" t="str">
        <f>CONCATENATE(Input!$B$4," ",Input!$B$5," PAY ",TEXT(Input!$B$7,"DD/MM/YY"))</f>
        <v>VIC FN PAY 21/02/24</v>
      </c>
      <c r="S160" s="5">
        <f>'Journal - Main'!B160</f>
        <v>0</v>
      </c>
      <c r="W160" s="5" t="str">
        <f t="shared" si="6"/>
        <v xml:space="preserve"> </v>
      </c>
    </row>
    <row r="161" spans="1:23" x14ac:dyDescent="0.3">
      <c r="A161" s="3">
        <f t="shared" si="5"/>
        <v>160</v>
      </c>
      <c r="B161" s="4" t="s">
        <v>100</v>
      </c>
      <c r="C161" s="3">
        <f>IF(AND(ISNUMBER(MATCH('Journal - Main'!$E161,Lookups!$K$5:$K$16,0))=FALSE,OR(MID('Journal - Main'!N161,4,1)="C",MID('Journal - Main'!N161,4,1)="D")),LEFT('Journal - Main'!N161,2),Input!$B$6)</f>
        <v>20</v>
      </c>
      <c r="E161" s="32" t="s">
        <v>102</v>
      </c>
      <c r="H161" s="5" t="str">
        <f>IF(D161="",CONCATENATE(C161,'Journal - Main'!D161),"")</f>
        <v>20</v>
      </c>
      <c r="K161" s="12">
        <f>ROUND(_xlfn.NUMBERVALUE('Journal - Main'!G161),2)</f>
        <v>0</v>
      </c>
      <c r="L161" s="6"/>
      <c r="M161" s="6"/>
      <c r="N161" s="6"/>
      <c r="O161" s="6"/>
      <c r="P161" s="6"/>
      <c r="Q161" s="6"/>
      <c r="R161" s="5" t="str">
        <f>CONCATENATE(Input!$B$4," ",Input!$B$5," PAY ",TEXT(Input!$B$7,"DD/MM/YY"))</f>
        <v>VIC FN PAY 21/02/24</v>
      </c>
      <c r="S161" s="5">
        <f>'Journal - Main'!B161</f>
        <v>0</v>
      </c>
      <c r="W161" s="5" t="str">
        <f t="shared" si="6"/>
        <v xml:space="preserve"> </v>
      </c>
    </row>
    <row r="162" spans="1:23" x14ac:dyDescent="0.3">
      <c r="A162" s="3">
        <f t="shared" si="5"/>
        <v>161</v>
      </c>
      <c r="B162" s="4" t="s">
        <v>100</v>
      </c>
      <c r="C162" s="3">
        <f>IF(AND(ISNUMBER(MATCH('Journal - Main'!$E162,Lookups!$K$5:$K$16,0))=FALSE,OR(MID('Journal - Main'!N162,4,1)="C",MID('Journal - Main'!N162,4,1)="D")),LEFT('Journal - Main'!N162,2),Input!$B$6)</f>
        <v>20</v>
      </c>
      <c r="E162" s="32" t="s">
        <v>102</v>
      </c>
      <c r="H162" s="5" t="str">
        <f>IF(D162="",CONCATENATE(C162,'Journal - Main'!D162),"")</f>
        <v>20</v>
      </c>
      <c r="K162" s="12">
        <f>ROUND(_xlfn.NUMBERVALUE('Journal - Main'!G162),2)</f>
        <v>0</v>
      </c>
      <c r="L162" s="6"/>
      <c r="M162" s="6"/>
      <c r="N162" s="6"/>
      <c r="O162" s="6"/>
      <c r="P162" s="6"/>
      <c r="Q162" s="6"/>
      <c r="R162" s="5" t="str">
        <f>CONCATENATE(Input!$B$4," ",Input!$B$5," PAY ",TEXT(Input!$B$7,"DD/MM/YY"))</f>
        <v>VIC FN PAY 21/02/24</v>
      </c>
      <c r="S162" s="5">
        <f>'Journal - Main'!B162</f>
        <v>0</v>
      </c>
      <c r="W162" s="5" t="str">
        <f t="shared" si="6"/>
        <v xml:space="preserve"> </v>
      </c>
    </row>
    <row r="163" spans="1:23" x14ac:dyDescent="0.3">
      <c r="A163" s="3">
        <f t="shared" si="5"/>
        <v>162</v>
      </c>
      <c r="B163" s="4" t="s">
        <v>100</v>
      </c>
      <c r="C163" s="3">
        <f>IF(AND(ISNUMBER(MATCH('Journal - Main'!$E163,Lookups!$K$5:$K$16,0))=FALSE,OR(MID('Journal - Main'!N163,4,1)="C",MID('Journal - Main'!N163,4,1)="D")),LEFT('Journal - Main'!N163,2),Input!$B$6)</f>
        <v>20</v>
      </c>
      <c r="E163" s="32" t="s">
        <v>102</v>
      </c>
      <c r="H163" s="5" t="str">
        <f>IF(D163="",CONCATENATE(C163,'Journal - Main'!D163),"")</f>
        <v>20</v>
      </c>
      <c r="K163" s="12">
        <f>ROUND(_xlfn.NUMBERVALUE('Journal - Main'!G163),2)</f>
        <v>0</v>
      </c>
      <c r="L163" s="6"/>
      <c r="M163" s="6"/>
      <c r="N163" s="6"/>
      <c r="O163" s="6"/>
      <c r="P163" s="6"/>
      <c r="Q163" s="6"/>
      <c r="R163" s="5" t="str">
        <f>CONCATENATE(Input!$B$4," ",Input!$B$5," PAY ",TEXT(Input!$B$7,"DD/MM/YY"))</f>
        <v>VIC FN PAY 21/02/24</v>
      </c>
      <c r="S163" s="5">
        <f>'Journal - Main'!B163</f>
        <v>0</v>
      </c>
      <c r="W163" s="5" t="str">
        <f t="shared" si="6"/>
        <v xml:space="preserve"> </v>
      </c>
    </row>
    <row r="164" spans="1:23" x14ac:dyDescent="0.3">
      <c r="A164" s="3">
        <f t="shared" si="5"/>
        <v>163</v>
      </c>
      <c r="B164" s="4" t="s">
        <v>100</v>
      </c>
      <c r="C164" s="3">
        <f>IF(AND(ISNUMBER(MATCH('Journal - Main'!$E164,Lookups!$K$5:$K$16,0))=FALSE,OR(MID('Journal - Main'!N164,4,1)="C",MID('Journal - Main'!N164,4,1)="D")),LEFT('Journal - Main'!N164,2),Input!$B$6)</f>
        <v>20</v>
      </c>
      <c r="E164" s="32" t="s">
        <v>102</v>
      </c>
      <c r="H164" s="5" t="str">
        <f>IF(D164="",CONCATENATE(C164,'Journal - Main'!D164),"")</f>
        <v>20</v>
      </c>
      <c r="K164" s="12">
        <f>ROUND(_xlfn.NUMBERVALUE('Journal - Main'!G164),2)</f>
        <v>0</v>
      </c>
      <c r="L164" s="6"/>
      <c r="M164" s="6"/>
      <c r="N164" s="6"/>
      <c r="O164" s="6"/>
      <c r="P164" s="6"/>
      <c r="Q164" s="6"/>
      <c r="R164" s="5" t="str">
        <f>CONCATENATE(Input!$B$4," ",Input!$B$5," PAY ",TEXT(Input!$B$7,"DD/MM/YY"))</f>
        <v>VIC FN PAY 21/02/24</v>
      </c>
      <c r="S164" s="5">
        <f>'Journal - Main'!B164</f>
        <v>0</v>
      </c>
      <c r="W164" s="5" t="str">
        <f t="shared" si="6"/>
        <v xml:space="preserve"> </v>
      </c>
    </row>
    <row r="165" spans="1:23" x14ac:dyDescent="0.3">
      <c r="A165" s="3">
        <f t="shared" si="5"/>
        <v>164</v>
      </c>
      <c r="B165" s="4" t="s">
        <v>100</v>
      </c>
      <c r="C165" s="3">
        <f>IF(AND(ISNUMBER(MATCH('Journal - Main'!$E165,Lookups!$K$5:$K$16,0))=FALSE,OR(MID('Journal - Main'!N165,4,1)="C",MID('Journal - Main'!N165,4,1)="D")),LEFT('Journal - Main'!N165,2),Input!$B$6)</f>
        <v>20</v>
      </c>
      <c r="E165" s="32" t="s">
        <v>102</v>
      </c>
      <c r="H165" s="5" t="str">
        <f>IF(D165="",CONCATENATE(C165,'Journal - Main'!D165),"")</f>
        <v>20</v>
      </c>
      <c r="K165" s="12">
        <f>ROUND(_xlfn.NUMBERVALUE('Journal - Main'!G165),2)</f>
        <v>0</v>
      </c>
      <c r="L165" s="6"/>
      <c r="M165" s="6"/>
      <c r="N165" s="6"/>
      <c r="O165" s="6"/>
      <c r="P165" s="6"/>
      <c r="Q165" s="6"/>
      <c r="R165" s="5" t="str">
        <f>CONCATENATE(Input!$B$4," ",Input!$B$5," PAY ",TEXT(Input!$B$7,"DD/MM/YY"))</f>
        <v>VIC FN PAY 21/02/24</v>
      </c>
      <c r="S165" s="5">
        <f>'Journal - Main'!B165</f>
        <v>0</v>
      </c>
      <c r="W165" s="5" t="str">
        <f t="shared" si="6"/>
        <v xml:space="preserve"> </v>
      </c>
    </row>
    <row r="166" spans="1:23" x14ac:dyDescent="0.3">
      <c r="A166" s="3">
        <f t="shared" si="5"/>
        <v>165</v>
      </c>
      <c r="B166" s="4" t="s">
        <v>100</v>
      </c>
      <c r="C166" s="3">
        <f>IF(AND(ISNUMBER(MATCH('Journal - Main'!$E166,Lookups!$K$5:$K$16,0))=FALSE,OR(MID('Journal - Main'!N166,4,1)="C",MID('Journal - Main'!N166,4,1)="D")),LEFT('Journal - Main'!N166,2),Input!$B$6)</f>
        <v>20</v>
      </c>
      <c r="E166" s="32" t="s">
        <v>102</v>
      </c>
      <c r="H166" s="5" t="str">
        <f>IF(D166="",CONCATENATE(C166,'Journal - Main'!D166),"")</f>
        <v>20</v>
      </c>
      <c r="K166" s="12">
        <f>ROUND(_xlfn.NUMBERVALUE('Journal - Main'!G166),2)</f>
        <v>0</v>
      </c>
      <c r="L166" s="6"/>
      <c r="M166" s="6"/>
      <c r="N166" s="6"/>
      <c r="O166" s="6"/>
      <c r="P166" s="6"/>
      <c r="Q166" s="6"/>
      <c r="R166" s="5" t="str">
        <f>CONCATENATE(Input!$B$4," ",Input!$B$5," PAY ",TEXT(Input!$B$7,"DD/MM/YY"))</f>
        <v>VIC FN PAY 21/02/24</v>
      </c>
      <c r="S166" s="5">
        <f>'Journal - Main'!B166</f>
        <v>0</v>
      </c>
      <c r="W166" s="5" t="str">
        <f t="shared" si="6"/>
        <v xml:space="preserve"> </v>
      </c>
    </row>
    <row r="167" spans="1:23" x14ac:dyDescent="0.3">
      <c r="A167" s="3">
        <f t="shared" si="5"/>
        <v>166</v>
      </c>
      <c r="B167" s="4" t="s">
        <v>100</v>
      </c>
      <c r="C167" s="3">
        <f>IF(AND(ISNUMBER(MATCH('Journal - Main'!$E167,Lookups!$K$5:$K$16,0))=FALSE,OR(MID('Journal - Main'!N167,4,1)="C",MID('Journal - Main'!N167,4,1)="D")),LEFT('Journal - Main'!N167,2),Input!$B$6)</f>
        <v>20</v>
      </c>
      <c r="E167" s="32" t="s">
        <v>102</v>
      </c>
      <c r="H167" s="5" t="str">
        <f>IF(D167="",CONCATENATE(C167,'Journal - Main'!D167),"")</f>
        <v>20</v>
      </c>
      <c r="K167" s="12">
        <f>ROUND(_xlfn.NUMBERVALUE('Journal - Main'!G167),2)</f>
        <v>0</v>
      </c>
      <c r="L167" s="6"/>
      <c r="M167" s="6"/>
      <c r="N167" s="6"/>
      <c r="O167" s="6"/>
      <c r="P167" s="6"/>
      <c r="Q167" s="6"/>
      <c r="R167" s="5" t="str">
        <f>CONCATENATE(Input!$B$4," ",Input!$B$5," PAY ",TEXT(Input!$B$7,"DD/MM/YY"))</f>
        <v>VIC FN PAY 21/02/24</v>
      </c>
      <c r="S167" s="5">
        <f>'Journal - Main'!B167</f>
        <v>0</v>
      </c>
      <c r="W167" s="5" t="str">
        <f t="shared" si="6"/>
        <v xml:space="preserve"> </v>
      </c>
    </row>
    <row r="168" spans="1:23" x14ac:dyDescent="0.3">
      <c r="A168" s="3">
        <f t="shared" si="5"/>
        <v>167</v>
      </c>
      <c r="B168" s="4" t="s">
        <v>100</v>
      </c>
      <c r="C168" s="3">
        <f>IF(AND(ISNUMBER(MATCH('Journal - Main'!$E168,Lookups!$K$5:$K$16,0))=FALSE,OR(MID('Journal - Main'!N168,4,1)="C",MID('Journal - Main'!N168,4,1)="D")),LEFT('Journal - Main'!N168,2),Input!$B$6)</f>
        <v>20</v>
      </c>
      <c r="E168" s="32" t="s">
        <v>102</v>
      </c>
      <c r="H168" s="5" t="str">
        <f>IF(D168="",CONCATENATE(C168,'Journal - Main'!D168),"")</f>
        <v>20</v>
      </c>
      <c r="K168" s="12">
        <f>ROUND(_xlfn.NUMBERVALUE('Journal - Main'!G168),2)</f>
        <v>0</v>
      </c>
      <c r="L168" s="6"/>
      <c r="M168" s="6"/>
      <c r="N168" s="6"/>
      <c r="O168" s="6"/>
      <c r="P168" s="6"/>
      <c r="Q168" s="6"/>
      <c r="R168" s="5" t="str">
        <f>CONCATENATE(Input!$B$4," ",Input!$B$5," PAY ",TEXT(Input!$B$7,"DD/MM/YY"))</f>
        <v>VIC FN PAY 21/02/24</v>
      </c>
      <c r="S168" s="5">
        <f>'Journal - Main'!B168</f>
        <v>0</v>
      </c>
      <c r="W168" s="5" t="str">
        <f t="shared" si="6"/>
        <v xml:space="preserve"> </v>
      </c>
    </row>
    <row r="169" spans="1:23" x14ac:dyDescent="0.3">
      <c r="A169" s="3">
        <f t="shared" si="5"/>
        <v>168</v>
      </c>
      <c r="B169" s="4" t="s">
        <v>100</v>
      </c>
      <c r="C169" s="3">
        <f>IF(AND(ISNUMBER(MATCH('Journal - Main'!$E169,Lookups!$K$5:$K$16,0))=FALSE,OR(MID('Journal - Main'!N169,4,1)="C",MID('Journal - Main'!N169,4,1)="D")),LEFT('Journal - Main'!N169,2),Input!$B$6)</f>
        <v>20</v>
      </c>
      <c r="E169" s="32" t="s">
        <v>102</v>
      </c>
      <c r="H169" s="5" t="str">
        <f>IF(D169="",CONCATENATE(C169,'Journal - Main'!D169),"")</f>
        <v>20</v>
      </c>
      <c r="K169" s="12">
        <f>ROUND(_xlfn.NUMBERVALUE('Journal - Main'!G169),2)</f>
        <v>0</v>
      </c>
      <c r="L169" s="6"/>
      <c r="M169" s="6"/>
      <c r="N169" s="6"/>
      <c r="O169" s="6"/>
      <c r="P169" s="6"/>
      <c r="Q169" s="6"/>
      <c r="R169" s="5" t="str">
        <f>CONCATENATE(Input!$B$4," ",Input!$B$5," PAY ",TEXT(Input!$B$7,"DD/MM/YY"))</f>
        <v>VIC FN PAY 21/02/24</v>
      </c>
      <c r="S169" s="5">
        <f>'Journal - Main'!B169</f>
        <v>0</v>
      </c>
      <c r="W169" s="5" t="str">
        <f t="shared" si="6"/>
        <v xml:space="preserve"> </v>
      </c>
    </row>
    <row r="170" spans="1:23" x14ac:dyDescent="0.3">
      <c r="A170" s="3">
        <f t="shared" si="5"/>
        <v>169</v>
      </c>
      <c r="B170" s="4" t="s">
        <v>100</v>
      </c>
      <c r="C170" s="3">
        <f>IF(AND(ISNUMBER(MATCH('Journal - Main'!$E170,Lookups!$K$5:$K$16,0))=FALSE,OR(MID('Journal - Main'!N170,4,1)="C",MID('Journal - Main'!N170,4,1)="D")),LEFT('Journal - Main'!N170,2),Input!$B$6)</f>
        <v>20</v>
      </c>
      <c r="E170" s="32" t="s">
        <v>102</v>
      </c>
      <c r="H170" s="5" t="str">
        <f>IF(D170="",CONCATENATE(C170,'Journal - Main'!D170),"")</f>
        <v>20</v>
      </c>
      <c r="K170" s="12">
        <f>ROUND(_xlfn.NUMBERVALUE('Journal - Main'!G170),2)</f>
        <v>0</v>
      </c>
      <c r="L170" s="6"/>
      <c r="M170" s="6"/>
      <c r="N170" s="6"/>
      <c r="O170" s="6"/>
      <c r="P170" s="6"/>
      <c r="Q170" s="6"/>
      <c r="R170" s="5" t="str">
        <f>CONCATENATE(Input!$B$4," ",Input!$B$5," PAY ",TEXT(Input!$B$7,"DD/MM/YY"))</f>
        <v>VIC FN PAY 21/02/24</v>
      </c>
      <c r="S170" s="5">
        <f>'Journal - Main'!B170</f>
        <v>0</v>
      </c>
      <c r="W170" s="5" t="str">
        <f t="shared" si="6"/>
        <v xml:space="preserve"> </v>
      </c>
    </row>
    <row r="171" spans="1:23" x14ac:dyDescent="0.3">
      <c r="A171" s="3">
        <f t="shared" si="5"/>
        <v>170</v>
      </c>
      <c r="B171" s="4" t="s">
        <v>100</v>
      </c>
      <c r="C171" s="3">
        <f>IF(AND(ISNUMBER(MATCH('Journal - Main'!$E171,Lookups!$K$5:$K$16,0))=FALSE,OR(MID('Journal - Main'!N171,4,1)="C",MID('Journal - Main'!N171,4,1)="D")),LEFT('Journal - Main'!N171,2),Input!$B$6)</f>
        <v>20</v>
      </c>
      <c r="E171" s="32" t="s">
        <v>102</v>
      </c>
      <c r="H171" s="5" t="str">
        <f>IF(D171="",CONCATENATE(C171,'Journal - Main'!D171),"")</f>
        <v>20</v>
      </c>
      <c r="K171" s="12">
        <f>ROUND(_xlfn.NUMBERVALUE('Journal - Main'!G171),2)</f>
        <v>0</v>
      </c>
      <c r="L171" s="6"/>
      <c r="M171" s="6"/>
      <c r="N171" s="6"/>
      <c r="O171" s="6"/>
      <c r="P171" s="6"/>
      <c r="Q171" s="6"/>
      <c r="R171" s="5" t="str">
        <f>CONCATENATE(Input!$B$4," ",Input!$B$5," PAY ",TEXT(Input!$B$7,"DD/MM/YY"))</f>
        <v>VIC FN PAY 21/02/24</v>
      </c>
      <c r="S171" s="5">
        <f>'Journal - Main'!B171</f>
        <v>0</v>
      </c>
      <c r="W171" s="5" t="str">
        <f t="shared" si="6"/>
        <v xml:space="preserve"> </v>
      </c>
    </row>
    <row r="172" spans="1:23" x14ac:dyDescent="0.3">
      <c r="A172" s="3">
        <f t="shared" si="5"/>
        <v>171</v>
      </c>
      <c r="B172" s="4" t="s">
        <v>100</v>
      </c>
      <c r="C172" s="3">
        <f>IF(AND(ISNUMBER(MATCH('Journal - Main'!$E172,Lookups!$K$5:$K$16,0))=FALSE,OR(MID('Journal - Main'!N172,4,1)="C",MID('Journal - Main'!N172,4,1)="D")),LEFT('Journal - Main'!N172,2),Input!$B$6)</f>
        <v>20</v>
      </c>
      <c r="E172" s="32" t="s">
        <v>102</v>
      </c>
      <c r="H172" s="5" t="str">
        <f>IF(D172="",CONCATENATE(C172,'Journal - Main'!D172),"")</f>
        <v>20</v>
      </c>
      <c r="K172" s="12">
        <f>ROUND(_xlfn.NUMBERVALUE('Journal - Main'!G172),2)</f>
        <v>0</v>
      </c>
      <c r="L172" s="6"/>
      <c r="M172" s="6"/>
      <c r="N172" s="6"/>
      <c r="O172" s="6"/>
      <c r="P172" s="6"/>
      <c r="Q172" s="6"/>
      <c r="R172" s="5" t="str">
        <f>CONCATENATE(Input!$B$4," ",Input!$B$5," PAY ",TEXT(Input!$B$7,"DD/MM/YY"))</f>
        <v>VIC FN PAY 21/02/24</v>
      </c>
      <c r="S172" s="5">
        <f>'Journal - Main'!B172</f>
        <v>0</v>
      </c>
      <c r="W172" s="5" t="str">
        <f t="shared" si="6"/>
        <v xml:space="preserve"> </v>
      </c>
    </row>
    <row r="173" spans="1:23" x14ac:dyDescent="0.3">
      <c r="A173" s="3">
        <f t="shared" si="5"/>
        <v>172</v>
      </c>
      <c r="B173" s="4" t="s">
        <v>100</v>
      </c>
      <c r="C173" s="3">
        <f>IF(AND(ISNUMBER(MATCH('Journal - Main'!$E173,Lookups!$K$5:$K$16,0))=FALSE,OR(MID('Journal - Main'!N173,4,1)="C",MID('Journal - Main'!N173,4,1)="D")),LEFT('Journal - Main'!N173,2),Input!$B$6)</f>
        <v>20</v>
      </c>
      <c r="E173" s="32" t="s">
        <v>102</v>
      </c>
      <c r="H173" s="5" t="str">
        <f>IF(D173="",CONCATENATE(C173,'Journal - Main'!D173),"")</f>
        <v>20</v>
      </c>
      <c r="K173" s="12">
        <f>ROUND(_xlfn.NUMBERVALUE('Journal - Main'!G173),2)</f>
        <v>0</v>
      </c>
      <c r="L173" s="6"/>
      <c r="M173" s="6"/>
      <c r="N173" s="6"/>
      <c r="O173" s="6"/>
      <c r="P173" s="6"/>
      <c r="Q173" s="6"/>
      <c r="R173" s="5" t="str">
        <f>CONCATENATE(Input!$B$4," ",Input!$B$5," PAY ",TEXT(Input!$B$7,"DD/MM/YY"))</f>
        <v>VIC FN PAY 21/02/24</v>
      </c>
      <c r="S173" s="5">
        <f>'Journal - Main'!B173</f>
        <v>0</v>
      </c>
      <c r="W173" s="5" t="str">
        <f t="shared" si="6"/>
        <v xml:space="preserve"> </v>
      </c>
    </row>
    <row r="174" spans="1:23" x14ac:dyDescent="0.3">
      <c r="A174" s="3">
        <f t="shared" si="5"/>
        <v>173</v>
      </c>
      <c r="B174" s="4" t="s">
        <v>100</v>
      </c>
      <c r="C174" s="3">
        <f>IF(AND(ISNUMBER(MATCH('Journal - Main'!$E174,Lookups!$K$5:$K$16,0))=FALSE,OR(MID('Journal - Main'!N174,4,1)="C",MID('Journal - Main'!N174,4,1)="D")),LEFT('Journal - Main'!N174,2),Input!$B$6)</f>
        <v>20</v>
      </c>
      <c r="E174" s="32" t="s">
        <v>102</v>
      </c>
      <c r="H174" s="5" t="str">
        <f>IF(D174="",CONCATENATE(C174,'Journal - Main'!D174),"")</f>
        <v>20</v>
      </c>
      <c r="K174" s="12">
        <f>ROUND(_xlfn.NUMBERVALUE('Journal - Main'!G174),2)</f>
        <v>0</v>
      </c>
      <c r="L174" s="6"/>
      <c r="M174" s="6"/>
      <c r="N174" s="6"/>
      <c r="O174" s="6"/>
      <c r="P174" s="6"/>
      <c r="Q174" s="6"/>
      <c r="R174" s="5" t="str">
        <f>CONCATENATE(Input!$B$4," ",Input!$B$5," PAY ",TEXT(Input!$B$7,"DD/MM/YY"))</f>
        <v>VIC FN PAY 21/02/24</v>
      </c>
      <c r="S174" s="5">
        <f>'Journal - Main'!B174</f>
        <v>0</v>
      </c>
      <c r="W174" s="5" t="str">
        <f t="shared" si="6"/>
        <v xml:space="preserve"> </v>
      </c>
    </row>
    <row r="175" spans="1:23" x14ac:dyDescent="0.3">
      <c r="A175" s="3">
        <f t="shared" si="5"/>
        <v>174</v>
      </c>
      <c r="B175" s="4" t="s">
        <v>100</v>
      </c>
      <c r="C175" s="3">
        <f>IF(AND(ISNUMBER(MATCH('Journal - Main'!$E175,Lookups!$K$5:$K$16,0))=FALSE,OR(MID('Journal - Main'!N175,4,1)="C",MID('Journal - Main'!N175,4,1)="D")),LEFT('Journal - Main'!N175,2),Input!$B$6)</f>
        <v>20</v>
      </c>
      <c r="E175" s="32" t="s">
        <v>102</v>
      </c>
      <c r="H175" s="5" t="str">
        <f>IF(D175="",CONCATENATE(C175,'Journal - Main'!D175),"")</f>
        <v>20</v>
      </c>
      <c r="K175" s="12">
        <f>ROUND(_xlfn.NUMBERVALUE('Journal - Main'!G175),2)</f>
        <v>0</v>
      </c>
      <c r="L175" s="6"/>
      <c r="M175" s="6"/>
      <c r="N175" s="6"/>
      <c r="O175" s="6"/>
      <c r="P175" s="6"/>
      <c r="Q175" s="6"/>
      <c r="R175" s="5" t="str">
        <f>CONCATENATE(Input!$B$4," ",Input!$B$5," PAY ",TEXT(Input!$B$7,"DD/MM/YY"))</f>
        <v>VIC FN PAY 21/02/24</v>
      </c>
      <c r="S175" s="5">
        <f>'Journal - Main'!B175</f>
        <v>0</v>
      </c>
      <c r="W175" s="5" t="str">
        <f t="shared" si="6"/>
        <v xml:space="preserve"> </v>
      </c>
    </row>
    <row r="176" spans="1:23" x14ac:dyDescent="0.3">
      <c r="A176" s="3">
        <f t="shared" si="5"/>
        <v>175</v>
      </c>
      <c r="B176" s="4" t="s">
        <v>100</v>
      </c>
      <c r="C176" s="3">
        <f>IF(AND(ISNUMBER(MATCH('Journal - Main'!$E176,Lookups!$K$5:$K$16,0))=FALSE,OR(MID('Journal - Main'!N176,4,1)="C",MID('Journal - Main'!N176,4,1)="D")),LEFT('Journal - Main'!N176,2),Input!$B$6)</f>
        <v>20</v>
      </c>
      <c r="E176" s="32" t="s">
        <v>102</v>
      </c>
      <c r="H176" s="5" t="str">
        <f>IF(D176="",CONCATENATE(C176,'Journal - Main'!D176),"")</f>
        <v>20</v>
      </c>
      <c r="K176" s="12">
        <f>ROUND(_xlfn.NUMBERVALUE('Journal - Main'!G176),2)</f>
        <v>0</v>
      </c>
      <c r="L176" s="6"/>
      <c r="M176" s="6"/>
      <c r="N176" s="6"/>
      <c r="O176" s="6"/>
      <c r="P176" s="6"/>
      <c r="Q176" s="6"/>
      <c r="R176" s="5" t="str">
        <f>CONCATENATE(Input!$B$4," ",Input!$B$5," PAY ",TEXT(Input!$B$7,"DD/MM/YY"))</f>
        <v>VIC FN PAY 21/02/24</v>
      </c>
      <c r="S176" s="5">
        <f>'Journal - Main'!B176</f>
        <v>0</v>
      </c>
      <c r="W176" s="5" t="str">
        <f t="shared" si="6"/>
        <v xml:space="preserve"> </v>
      </c>
    </row>
    <row r="177" spans="1:23" x14ac:dyDescent="0.3">
      <c r="A177" s="3">
        <f t="shared" si="5"/>
        <v>176</v>
      </c>
      <c r="B177" s="4" t="s">
        <v>100</v>
      </c>
      <c r="C177" s="3">
        <f>IF(AND(ISNUMBER(MATCH('Journal - Main'!$E177,Lookups!$K$5:$K$16,0))=FALSE,OR(MID('Journal - Main'!N177,4,1)="C",MID('Journal - Main'!N177,4,1)="D")),LEFT('Journal - Main'!N177,2),Input!$B$6)</f>
        <v>20</v>
      </c>
      <c r="E177" s="32" t="s">
        <v>102</v>
      </c>
      <c r="H177" s="5" t="str">
        <f>IF(D177="",CONCATENATE(C177,'Journal - Main'!D177),"")</f>
        <v>20</v>
      </c>
      <c r="K177" s="12">
        <f>ROUND(_xlfn.NUMBERVALUE('Journal - Main'!G177),2)</f>
        <v>0</v>
      </c>
      <c r="L177" s="6"/>
      <c r="M177" s="6"/>
      <c r="N177" s="6"/>
      <c r="O177" s="6"/>
      <c r="P177" s="6"/>
      <c r="Q177" s="6"/>
      <c r="R177" s="5" t="str">
        <f>CONCATENATE(Input!$B$4," ",Input!$B$5," PAY ",TEXT(Input!$B$7,"DD/MM/YY"))</f>
        <v>VIC FN PAY 21/02/24</v>
      </c>
      <c r="S177" s="5">
        <f>'Journal - Main'!B177</f>
        <v>0</v>
      </c>
      <c r="W177" s="5" t="str">
        <f t="shared" si="6"/>
        <v xml:space="preserve"> </v>
      </c>
    </row>
    <row r="178" spans="1:23" x14ac:dyDescent="0.3">
      <c r="A178" s="3">
        <f t="shared" si="5"/>
        <v>177</v>
      </c>
      <c r="B178" s="4" t="s">
        <v>100</v>
      </c>
      <c r="C178" s="3">
        <f>IF(AND(ISNUMBER(MATCH('Journal - Main'!$E178,Lookups!$K$5:$K$16,0))=FALSE,OR(MID('Journal - Main'!N178,4,1)="C",MID('Journal - Main'!N178,4,1)="D")),LEFT('Journal - Main'!N178,2),Input!$B$6)</f>
        <v>20</v>
      </c>
      <c r="E178" s="32" t="s">
        <v>102</v>
      </c>
      <c r="H178" s="5" t="str">
        <f>IF(D178="",CONCATENATE(C178,'Journal - Main'!D178),"")</f>
        <v>20</v>
      </c>
      <c r="K178" s="12">
        <f>ROUND(_xlfn.NUMBERVALUE('Journal - Main'!G178),2)</f>
        <v>0</v>
      </c>
      <c r="L178" s="6"/>
      <c r="M178" s="6"/>
      <c r="N178" s="6"/>
      <c r="O178" s="6"/>
      <c r="P178" s="6"/>
      <c r="Q178" s="6"/>
      <c r="R178" s="5" t="str">
        <f>CONCATENATE(Input!$B$4," ",Input!$B$5," PAY ",TEXT(Input!$B$7,"DD/MM/YY"))</f>
        <v>VIC FN PAY 21/02/24</v>
      </c>
      <c r="S178" s="5">
        <f>'Journal - Main'!B178</f>
        <v>0</v>
      </c>
      <c r="W178" s="5" t="str">
        <f t="shared" si="6"/>
        <v xml:space="preserve"> </v>
      </c>
    </row>
    <row r="179" spans="1:23" x14ac:dyDescent="0.3">
      <c r="A179" s="3">
        <f t="shared" si="5"/>
        <v>178</v>
      </c>
      <c r="B179" s="4" t="s">
        <v>100</v>
      </c>
      <c r="C179" s="3">
        <f>IF(AND(ISNUMBER(MATCH('Journal - Main'!$E179,Lookups!$K$5:$K$16,0))=FALSE,OR(MID('Journal - Main'!N179,4,1)="C",MID('Journal - Main'!N179,4,1)="D")),LEFT('Journal - Main'!N179,2),Input!$B$6)</f>
        <v>20</v>
      </c>
      <c r="E179" s="32" t="s">
        <v>102</v>
      </c>
      <c r="H179" s="5" t="str">
        <f>IF(D179="",CONCATENATE(C179,'Journal - Main'!D179),"")</f>
        <v>20</v>
      </c>
      <c r="K179" s="12">
        <f>ROUND(_xlfn.NUMBERVALUE('Journal - Main'!G179),2)</f>
        <v>0</v>
      </c>
      <c r="L179" s="6"/>
      <c r="M179" s="6"/>
      <c r="N179" s="6"/>
      <c r="O179" s="6"/>
      <c r="P179" s="6"/>
      <c r="Q179" s="6"/>
      <c r="R179" s="5" t="str">
        <f>CONCATENATE(Input!$B$4," ",Input!$B$5," PAY ",TEXT(Input!$B$7,"DD/MM/YY"))</f>
        <v>VIC FN PAY 21/02/24</v>
      </c>
      <c r="S179" s="5">
        <f>'Journal - Main'!B179</f>
        <v>0</v>
      </c>
      <c r="W179" s="5" t="str">
        <f t="shared" si="6"/>
        <v xml:space="preserve"> </v>
      </c>
    </row>
    <row r="180" spans="1:23" x14ac:dyDescent="0.3">
      <c r="A180" s="3">
        <f t="shared" si="5"/>
        <v>179</v>
      </c>
      <c r="B180" s="4" t="s">
        <v>100</v>
      </c>
      <c r="C180" s="3">
        <f>IF(AND(ISNUMBER(MATCH('Journal - Main'!$E180,Lookups!$K$5:$K$16,0))=FALSE,OR(MID('Journal - Main'!N180,4,1)="C",MID('Journal - Main'!N180,4,1)="D")),LEFT('Journal - Main'!N180,2),Input!$B$6)</f>
        <v>20</v>
      </c>
      <c r="E180" s="32" t="s">
        <v>102</v>
      </c>
      <c r="H180" s="5" t="str">
        <f>IF(D180="",CONCATENATE(C180,'Journal - Main'!D180),"")</f>
        <v>20</v>
      </c>
      <c r="K180" s="12">
        <f>ROUND(_xlfn.NUMBERVALUE('Journal - Main'!G180),2)</f>
        <v>0</v>
      </c>
      <c r="L180" s="6"/>
      <c r="M180" s="6"/>
      <c r="N180" s="6"/>
      <c r="O180" s="6"/>
      <c r="P180" s="6"/>
      <c r="Q180" s="6"/>
      <c r="R180" s="5" t="str">
        <f>CONCATENATE(Input!$B$4," ",Input!$B$5," PAY ",TEXT(Input!$B$7,"DD/MM/YY"))</f>
        <v>VIC FN PAY 21/02/24</v>
      </c>
      <c r="S180" s="5">
        <f>'Journal - Main'!B180</f>
        <v>0</v>
      </c>
      <c r="W180" s="5" t="str">
        <f t="shared" si="6"/>
        <v xml:space="preserve"> </v>
      </c>
    </row>
    <row r="181" spans="1:23" x14ac:dyDescent="0.3">
      <c r="A181" s="3">
        <f t="shared" si="5"/>
        <v>180</v>
      </c>
      <c r="B181" s="4" t="s">
        <v>100</v>
      </c>
      <c r="C181" s="3">
        <f>IF(AND(ISNUMBER(MATCH('Journal - Main'!$E181,Lookups!$K$5:$K$16,0))=FALSE,OR(MID('Journal - Main'!N181,4,1)="C",MID('Journal - Main'!N181,4,1)="D")),LEFT('Journal - Main'!N181,2),Input!$B$6)</f>
        <v>20</v>
      </c>
      <c r="E181" s="32" t="s">
        <v>102</v>
      </c>
      <c r="H181" s="5" t="str">
        <f>IF(D181="",CONCATENATE(C181,'Journal - Main'!D181),"")</f>
        <v>20</v>
      </c>
      <c r="K181" s="12">
        <f>ROUND(_xlfn.NUMBERVALUE('Journal - Main'!G181),2)</f>
        <v>0</v>
      </c>
      <c r="L181" s="6"/>
      <c r="M181" s="6"/>
      <c r="N181" s="6"/>
      <c r="O181" s="6"/>
      <c r="P181" s="6"/>
      <c r="Q181" s="6"/>
      <c r="R181" s="5" t="str">
        <f>CONCATENATE(Input!$B$4," ",Input!$B$5," PAY ",TEXT(Input!$B$7,"DD/MM/YY"))</f>
        <v>VIC FN PAY 21/02/24</v>
      </c>
      <c r="S181" s="5">
        <f>'Journal - Main'!B181</f>
        <v>0</v>
      </c>
      <c r="W181" s="5" t="str">
        <f t="shared" si="6"/>
        <v xml:space="preserve"> </v>
      </c>
    </row>
    <row r="182" spans="1:23" x14ac:dyDescent="0.3">
      <c r="A182" s="3">
        <f t="shared" si="5"/>
        <v>181</v>
      </c>
      <c r="B182" s="4" t="s">
        <v>100</v>
      </c>
      <c r="C182" s="3">
        <f>IF(AND(ISNUMBER(MATCH('Journal - Main'!$E182,Lookups!$K$5:$K$16,0))=FALSE,OR(MID('Journal - Main'!N182,4,1)="C",MID('Journal - Main'!N182,4,1)="D")),LEFT('Journal - Main'!N182,2),Input!$B$6)</f>
        <v>20</v>
      </c>
      <c r="E182" s="32" t="s">
        <v>102</v>
      </c>
      <c r="H182" s="5" t="str">
        <f>IF(D182="",CONCATENATE(C182,'Journal - Main'!D182),"")</f>
        <v>20</v>
      </c>
      <c r="K182" s="12">
        <f>ROUND(_xlfn.NUMBERVALUE('Journal - Main'!G182),2)</f>
        <v>0</v>
      </c>
      <c r="L182" s="6"/>
      <c r="M182" s="6"/>
      <c r="N182" s="6"/>
      <c r="O182" s="6"/>
      <c r="P182" s="6"/>
      <c r="Q182" s="6"/>
      <c r="R182" s="5" t="str">
        <f>CONCATENATE(Input!$B$4," ",Input!$B$5," PAY ",TEXT(Input!$B$7,"DD/MM/YY"))</f>
        <v>VIC FN PAY 21/02/24</v>
      </c>
      <c r="S182" s="5">
        <f>'Journal - Main'!B182</f>
        <v>0</v>
      </c>
      <c r="W182" s="5" t="str">
        <f t="shared" si="6"/>
        <v xml:space="preserve"> </v>
      </c>
    </row>
    <row r="183" spans="1:23" x14ac:dyDescent="0.3">
      <c r="A183" s="3">
        <f t="shared" si="5"/>
        <v>182</v>
      </c>
      <c r="B183" s="4" t="s">
        <v>100</v>
      </c>
      <c r="C183" s="3">
        <f>IF(AND(ISNUMBER(MATCH('Journal - Main'!$E183,Lookups!$K$5:$K$16,0))=FALSE,OR(MID('Journal - Main'!N183,4,1)="C",MID('Journal - Main'!N183,4,1)="D")),LEFT('Journal - Main'!N183,2),Input!$B$6)</f>
        <v>20</v>
      </c>
      <c r="E183" s="32" t="s">
        <v>102</v>
      </c>
      <c r="H183" s="5" t="str">
        <f>IF(D183="",CONCATENATE(C183,'Journal - Main'!D183),"")</f>
        <v>20</v>
      </c>
      <c r="K183" s="12">
        <f>ROUND(_xlfn.NUMBERVALUE('Journal - Main'!G183),2)</f>
        <v>0</v>
      </c>
      <c r="L183" s="6"/>
      <c r="M183" s="6"/>
      <c r="N183" s="6"/>
      <c r="O183" s="6"/>
      <c r="P183" s="6"/>
      <c r="Q183" s="6"/>
      <c r="R183" s="5" t="str">
        <f>CONCATENATE(Input!$B$4," ",Input!$B$5," PAY ",TEXT(Input!$B$7,"DD/MM/YY"))</f>
        <v>VIC FN PAY 21/02/24</v>
      </c>
      <c r="S183" s="5">
        <f>'Journal - Main'!B183</f>
        <v>0</v>
      </c>
      <c r="W183" s="5" t="str">
        <f t="shared" si="6"/>
        <v xml:space="preserve"> </v>
      </c>
    </row>
    <row r="184" spans="1:23" x14ac:dyDescent="0.3">
      <c r="A184" s="3">
        <f t="shared" si="5"/>
        <v>183</v>
      </c>
      <c r="B184" s="4" t="s">
        <v>100</v>
      </c>
      <c r="C184" s="3">
        <f>IF(AND(ISNUMBER(MATCH('Journal - Main'!$E184,Lookups!$K$5:$K$16,0))=FALSE,OR(MID('Journal - Main'!N184,4,1)="C",MID('Journal - Main'!N184,4,1)="D")),LEFT('Journal - Main'!N184,2),Input!$B$6)</f>
        <v>20</v>
      </c>
      <c r="E184" s="32" t="s">
        <v>102</v>
      </c>
      <c r="H184" s="5" t="str">
        <f>IF(D184="",CONCATENATE(C184,'Journal - Main'!D184),"")</f>
        <v>20</v>
      </c>
      <c r="K184" s="12">
        <f>ROUND(_xlfn.NUMBERVALUE('Journal - Main'!G184),2)</f>
        <v>0</v>
      </c>
      <c r="L184" s="6"/>
      <c r="M184" s="6"/>
      <c r="N184" s="6"/>
      <c r="O184" s="6"/>
      <c r="P184" s="6"/>
      <c r="Q184" s="6"/>
      <c r="R184" s="5" t="str">
        <f>CONCATENATE(Input!$B$4," ",Input!$B$5," PAY ",TEXT(Input!$B$7,"DD/MM/YY"))</f>
        <v>VIC FN PAY 21/02/24</v>
      </c>
      <c r="S184" s="5">
        <f>'Journal - Main'!B184</f>
        <v>0</v>
      </c>
      <c r="W184" s="5" t="str">
        <f t="shared" si="6"/>
        <v xml:space="preserve"> </v>
      </c>
    </row>
    <row r="185" spans="1:23" x14ac:dyDescent="0.3">
      <c r="A185" s="3">
        <f t="shared" si="5"/>
        <v>184</v>
      </c>
      <c r="B185" s="4" t="s">
        <v>100</v>
      </c>
      <c r="C185" s="3">
        <f>IF(AND(ISNUMBER(MATCH('Journal - Main'!$E185,Lookups!$K$5:$K$16,0))=FALSE,OR(MID('Journal - Main'!N185,4,1)="C",MID('Journal - Main'!N185,4,1)="D")),LEFT('Journal - Main'!N185,2),Input!$B$6)</f>
        <v>20</v>
      </c>
      <c r="E185" s="32" t="s">
        <v>102</v>
      </c>
      <c r="H185" s="5" t="str">
        <f>IF(D185="",CONCATENATE(C185,'Journal - Main'!D185),"")</f>
        <v>20</v>
      </c>
      <c r="K185" s="12">
        <f>ROUND(_xlfn.NUMBERVALUE('Journal - Main'!G185),2)</f>
        <v>0</v>
      </c>
      <c r="L185" s="6"/>
      <c r="M185" s="6"/>
      <c r="N185" s="6"/>
      <c r="O185" s="6"/>
      <c r="P185" s="6"/>
      <c r="Q185" s="6"/>
      <c r="R185" s="5" t="str">
        <f>CONCATENATE(Input!$B$4," ",Input!$B$5," PAY ",TEXT(Input!$B$7,"DD/MM/YY"))</f>
        <v>VIC FN PAY 21/02/24</v>
      </c>
      <c r="S185" s="5">
        <f>'Journal - Main'!B185</f>
        <v>0</v>
      </c>
      <c r="W185" s="5" t="str">
        <f t="shared" si="6"/>
        <v xml:space="preserve"> </v>
      </c>
    </row>
    <row r="186" spans="1:23" x14ac:dyDescent="0.3">
      <c r="A186" s="3">
        <f t="shared" si="5"/>
        <v>185</v>
      </c>
      <c r="B186" s="4" t="s">
        <v>100</v>
      </c>
      <c r="C186" s="3">
        <f>IF(AND(ISNUMBER(MATCH('Journal - Main'!$E186,Lookups!$K$5:$K$16,0))=FALSE,OR(MID('Journal - Main'!N186,4,1)="C",MID('Journal - Main'!N186,4,1)="D")),LEFT('Journal - Main'!N186,2),Input!$B$6)</f>
        <v>20</v>
      </c>
      <c r="E186" s="32" t="s">
        <v>102</v>
      </c>
      <c r="H186" s="5" t="str">
        <f>IF(D186="",CONCATENATE(C186,'Journal - Main'!D186),"")</f>
        <v>20</v>
      </c>
      <c r="K186" s="12">
        <f>ROUND(_xlfn.NUMBERVALUE('Journal - Main'!G186),2)</f>
        <v>0</v>
      </c>
      <c r="L186" s="6"/>
      <c r="M186" s="6"/>
      <c r="N186" s="6"/>
      <c r="O186" s="6"/>
      <c r="P186" s="6"/>
      <c r="Q186" s="6"/>
      <c r="R186" s="5" t="str">
        <f>CONCATENATE(Input!$B$4," ",Input!$B$5," PAY ",TEXT(Input!$B$7,"DD/MM/YY"))</f>
        <v>VIC FN PAY 21/02/24</v>
      </c>
      <c r="S186" s="5">
        <f>'Journal - Main'!B186</f>
        <v>0</v>
      </c>
      <c r="W186" s="5" t="str">
        <f t="shared" si="6"/>
        <v xml:space="preserve"> </v>
      </c>
    </row>
    <row r="187" spans="1:23" x14ac:dyDescent="0.3">
      <c r="A187" s="3">
        <f t="shared" si="5"/>
        <v>186</v>
      </c>
      <c r="B187" s="4" t="s">
        <v>100</v>
      </c>
      <c r="C187" s="3">
        <f>IF(AND(ISNUMBER(MATCH('Journal - Main'!$E187,Lookups!$K$5:$K$16,0))=FALSE,OR(MID('Journal - Main'!N187,4,1)="C",MID('Journal - Main'!N187,4,1)="D")),LEFT('Journal - Main'!N187,2),Input!$B$6)</f>
        <v>20</v>
      </c>
      <c r="E187" s="32" t="s">
        <v>102</v>
      </c>
      <c r="H187" s="5" t="str">
        <f>IF(D187="",CONCATENATE(C187,'Journal - Main'!D187),"")</f>
        <v>20</v>
      </c>
      <c r="K187" s="12">
        <f>ROUND(_xlfn.NUMBERVALUE('Journal - Main'!G187),2)</f>
        <v>0</v>
      </c>
      <c r="L187" s="6"/>
      <c r="M187" s="6"/>
      <c r="N187" s="6"/>
      <c r="O187" s="6"/>
      <c r="P187" s="6"/>
      <c r="Q187" s="6"/>
      <c r="R187" s="5" t="str">
        <f>CONCATENATE(Input!$B$4," ",Input!$B$5," PAY ",TEXT(Input!$B$7,"DD/MM/YY"))</f>
        <v>VIC FN PAY 21/02/24</v>
      </c>
      <c r="S187" s="5">
        <f>'Journal - Main'!B187</f>
        <v>0</v>
      </c>
      <c r="W187" s="5" t="str">
        <f t="shared" si="6"/>
        <v xml:space="preserve"> </v>
      </c>
    </row>
    <row r="188" spans="1:23" x14ac:dyDescent="0.3">
      <c r="A188" s="3">
        <f t="shared" si="5"/>
        <v>187</v>
      </c>
      <c r="B188" s="4" t="s">
        <v>100</v>
      </c>
      <c r="C188" s="3">
        <f>IF(AND(ISNUMBER(MATCH('Journal - Main'!$E188,Lookups!$K$5:$K$16,0))=FALSE,OR(MID('Journal - Main'!N188,4,1)="C",MID('Journal - Main'!N188,4,1)="D")),LEFT('Journal - Main'!N188,2),Input!$B$6)</f>
        <v>20</v>
      </c>
      <c r="E188" s="32" t="s">
        <v>102</v>
      </c>
      <c r="H188" s="5" t="str">
        <f>IF(D188="",CONCATENATE(C188,'Journal - Main'!D188),"")</f>
        <v>20</v>
      </c>
      <c r="K188" s="12">
        <f>ROUND(_xlfn.NUMBERVALUE('Journal - Main'!G188),2)</f>
        <v>0</v>
      </c>
      <c r="L188" s="6"/>
      <c r="M188" s="6"/>
      <c r="N188" s="6"/>
      <c r="O188" s="6"/>
      <c r="P188" s="6"/>
      <c r="Q188" s="6"/>
      <c r="R188" s="5" t="str">
        <f>CONCATENATE(Input!$B$4," ",Input!$B$5," PAY ",TEXT(Input!$B$7,"DD/MM/YY"))</f>
        <v>VIC FN PAY 21/02/24</v>
      </c>
      <c r="S188" s="5">
        <f>'Journal - Main'!B188</f>
        <v>0</v>
      </c>
      <c r="W188" s="5" t="str">
        <f t="shared" si="6"/>
        <v xml:space="preserve"> </v>
      </c>
    </row>
    <row r="189" spans="1:23" x14ac:dyDescent="0.3">
      <c r="A189" s="3">
        <f t="shared" si="5"/>
        <v>188</v>
      </c>
      <c r="B189" s="4" t="s">
        <v>100</v>
      </c>
      <c r="C189" s="3">
        <f>IF(AND(ISNUMBER(MATCH('Journal - Main'!$E189,Lookups!$K$5:$K$16,0))=FALSE,OR(MID('Journal - Main'!N189,4,1)="C",MID('Journal - Main'!N189,4,1)="D")),LEFT('Journal - Main'!N189,2),Input!$B$6)</f>
        <v>20</v>
      </c>
      <c r="E189" s="32" t="s">
        <v>102</v>
      </c>
      <c r="H189" s="5" t="str">
        <f>IF(D189="",CONCATENATE(C189,'Journal - Main'!D189),"")</f>
        <v>20</v>
      </c>
      <c r="K189" s="12">
        <f>ROUND(_xlfn.NUMBERVALUE('Journal - Main'!G189),2)</f>
        <v>0</v>
      </c>
      <c r="L189" s="6"/>
      <c r="M189" s="6"/>
      <c r="N189" s="6"/>
      <c r="O189" s="6"/>
      <c r="P189" s="6"/>
      <c r="Q189" s="6"/>
      <c r="R189" s="5" t="str">
        <f>CONCATENATE(Input!$B$4," ",Input!$B$5," PAY ",TEXT(Input!$B$7,"DD/MM/YY"))</f>
        <v>VIC FN PAY 21/02/24</v>
      </c>
      <c r="S189" s="5">
        <f>'Journal - Main'!B189</f>
        <v>0</v>
      </c>
      <c r="W189" s="5" t="str">
        <f t="shared" si="6"/>
        <v xml:space="preserve"> </v>
      </c>
    </row>
    <row r="190" spans="1:23" x14ac:dyDescent="0.3">
      <c r="A190" s="3">
        <f t="shared" si="5"/>
        <v>189</v>
      </c>
      <c r="B190" s="4" t="s">
        <v>100</v>
      </c>
      <c r="C190" s="3">
        <f>IF(AND(ISNUMBER(MATCH('Journal - Main'!$E190,Lookups!$K$5:$K$16,0))=FALSE,OR(MID('Journal - Main'!N190,4,1)="C",MID('Journal - Main'!N190,4,1)="D")),LEFT('Journal - Main'!N190,2),Input!$B$6)</f>
        <v>20</v>
      </c>
      <c r="E190" s="32" t="s">
        <v>102</v>
      </c>
      <c r="H190" s="5" t="str">
        <f>IF(D190="",CONCATENATE(C190,'Journal - Main'!D190),"")</f>
        <v>20</v>
      </c>
      <c r="K190" s="12">
        <f>ROUND(_xlfn.NUMBERVALUE('Journal - Main'!G190),2)</f>
        <v>0</v>
      </c>
      <c r="L190" s="6"/>
      <c r="M190" s="6"/>
      <c r="N190" s="6"/>
      <c r="O190" s="6"/>
      <c r="P190" s="6"/>
      <c r="Q190" s="6"/>
      <c r="R190" s="5" t="str">
        <f>CONCATENATE(Input!$B$4," ",Input!$B$5," PAY ",TEXT(Input!$B$7,"DD/MM/YY"))</f>
        <v>VIC FN PAY 21/02/24</v>
      </c>
      <c r="S190" s="5">
        <f>'Journal - Main'!B190</f>
        <v>0</v>
      </c>
      <c r="W190" s="5" t="str">
        <f t="shared" si="6"/>
        <v xml:space="preserve"> </v>
      </c>
    </row>
    <row r="191" spans="1:23" x14ac:dyDescent="0.3">
      <c r="A191" s="3">
        <f t="shared" si="5"/>
        <v>190</v>
      </c>
      <c r="B191" s="4" t="s">
        <v>100</v>
      </c>
      <c r="C191" s="3">
        <f>IF(AND(ISNUMBER(MATCH('Journal - Main'!$E191,Lookups!$K$5:$K$16,0))=FALSE,OR(MID('Journal - Main'!N191,4,1)="C",MID('Journal - Main'!N191,4,1)="D")),LEFT('Journal - Main'!N191,2),Input!$B$6)</f>
        <v>20</v>
      </c>
      <c r="E191" s="32" t="s">
        <v>102</v>
      </c>
      <c r="H191" s="5" t="str">
        <f>IF(D191="",CONCATENATE(C191,'Journal - Main'!D191),"")</f>
        <v>20</v>
      </c>
      <c r="K191" s="12">
        <f>ROUND(_xlfn.NUMBERVALUE('Journal - Main'!G191),2)</f>
        <v>0</v>
      </c>
      <c r="L191" s="6"/>
      <c r="M191" s="6"/>
      <c r="N191" s="6"/>
      <c r="O191" s="6"/>
      <c r="P191" s="6"/>
      <c r="Q191" s="6"/>
      <c r="R191" s="5" t="str">
        <f>CONCATENATE(Input!$B$4," ",Input!$B$5," PAY ",TEXT(Input!$B$7,"DD/MM/YY"))</f>
        <v>VIC FN PAY 21/02/24</v>
      </c>
      <c r="S191" s="5">
        <f>'Journal - Main'!B191</f>
        <v>0</v>
      </c>
      <c r="W191" s="5" t="str">
        <f t="shared" si="6"/>
        <v xml:space="preserve"> </v>
      </c>
    </row>
    <row r="192" spans="1:23" x14ac:dyDescent="0.3">
      <c r="A192" s="3">
        <f t="shared" si="5"/>
        <v>191</v>
      </c>
      <c r="B192" s="4" t="s">
        <v>100</v>
      </c>
      <c r="C192" s="3">
        <f>IF(AND(ISNUMBER(MATCH('Journal - Main'!$E192,Lookups!$K$5:$K$16,0))=FALSE,OR(MID('Journal - Main'!N192,4,1)="C",MID('Journal - Main'!N192,4,1)="D")),LEFT('Journal - Main'!N192,2),Input!$B$6)</f>
        <v>20</v>
      </c>
      <c r="E192" s="32" t="s">
        <v>102</v>
      </c>
      <c r="H192" s="5" t="str">
        <f>IF(D192="",CONCATENATE(C192,'Journal - Main'!D192),"")</f>
        <v>20</v>
      </c>
      <c r="K192" s="12">
        <f>ROUND(_xlfn.NUMBERVALUE('Journal - Main'!G192),2)</f>
        <v>0</v>
      </c>
      <c r="L192" s="6"/>
      <c r="M192" s="6"/>
      <c r="N192" s="6"/>
      <c r="O192" s="6"/>
      <c r="P192" s="6"/>
      <c r="Q192" s="6"/>
      <c r="R192" s="5" t="str">
        <f>CONCATENATE(Input!$B$4," ",Input!$B$5," PAY ",TEXT(Input!$B$7,"DD/MM/YY"))</f>
        <v>VIC FN PAY 21/02/24</v>
      </c>
      <c r="S192" s="5">
        <f>'Journal - Main'!B192</f>
        <v>0</v>
      </c>
      <c r="W192" s="5" t="str">
        <f t="shared" si="6"/>
        <v xml:space="preserve"> </v>
      </c>
    </row>
    <row r="193" spans="1:23" x14ac:dyDescent="0.3">
      <c r="A193" s="3">
        <f t="shared" si="5"/>
        <v>192</v>
      </c>
      <c r="B193" s="4" t="s">
        <v>100</v>
      </c>
      <c r="C193" s="3">
        <f>IF(AND(ISNUMBER(MATCH('Journal - Main'!$E193,Lookups!$K$5:$K$16,0))=FALSE,OR(MID('Journal - Main'!N193,4,1)="C",MID('Journal - Main'!N193,4,1)="D")),LEFT('Journal - Main'!N193,2),Input!$B$6)</f>
        <v>20</v>
      </c>
      <c r="E193" s="32" t="s">
        <v>102</v>
      </c>
      <c r="H193" s="5" t="str">
        <f>IF(D193="",CONCATENATE(C193,'Journal - Main'!D193),"")</f>
        <v>20</v>
      </c>
      <c r="K193" s="12">
        <f>ROUND(_xlfn.NUMBERVALUE('Journal - Main'!G193),2)</f>
        <v>0</v>
      </c>
      <c r="L193" s="6"/>
      <c r="M193" s="6"/>
      <c r="N193" s="6"/>
      <c r="O193" s="6"/>
      <c r="P193" s="6"/>
      <c r="Q193" s="6"/>
      <c r="R193" s="5" t="str">
        <f>CONCATENATE(Input!$B$4," ",Input!$B$5," PAY ",TEXT(Input!$B$7,"DD/MM/YY"))</f>
        <v>VIC FN PAY 21/02/24</v>
      </c>
      <c r="S193" s="5">
        <f>'Journal - Main'!B193</f>
        <v>0</v>
      </c>
      <c r="W193" s="5" t="str">
        <f t="shared" si="6"/>
        <v xml:space="preserve"> </v>
      </c>
    </row>
    <row r="194" spans="1:23" x14ac:dyDescent="0.3">
      <c r="A194" s="3">
        <f t="shared" si="5"/>
        <v>193</v>
      </c>
      <c r="B194" s="4" t="s">
        <v>100</v>
      </c>
      <c r="C194" s="3">
        <f>IF(AND(ISNUMBER(MATCH('Journal - Main'!$E194,Lookups!$K$5:$K$16,0))=FALSE,OR(MID('Journal - Main'!N194,4,1)="C",MID('Journal - Main'!N194,4,1)="D")),LEFT('Journal - Main'!N194,2),Input!$B$6)</f>
        <v>20</v>
      </c>
      <c r="E194" s="32" t="s">
        <v>102</v>
      </c>
      <c r="H194" s="5" t="str">
        <f>IF(D194="",CONCATENATE(C194,'Journal - Main'!D194),"")</f>
        <v>20</v>
      </c>
      <c r="K194" s="12">
        <f>ROUND(_xlfn.NUMBERVALUE('Journal - Main'!G194),2)</f>
        <v>0</v>
      </c>
      <c r="L194" s="6"/>
      <c r="M194" s="6"/>
      <c r="N194" s="6"/>
      <c r="O194" s="6"/>
      <c r="P194" s="6"/>
      <c r="Q194" s="6"/>
      <c r="R194" s="5" t="str">
        <f>CONCATENATE(Input!$B$4," ",Input!$B$5," PAY ",TEXT(Input!$B$7,"DD/MM/YY"))</f>
        <v>VIC FN PAY 21/02/24</v>
      </c>
      <c r="S194" s="5">
        <f>'Journal - Main'!B194</f>
        <v>0</v>
      </c>
      <c r="W194" s="5" t="str">
        <f t="shared" si="6"/>
        <v xml:space="preserve"> </v>
      </c>
    </row>
    <row r="195" spans="1:23" x14ac:dyDescent="0.3">
      <c r="A195" s="3">
        <f t="shared" si="5"/>
        <v>194</v>
      </c>
      <c r="B195" s="4" t="s">
        <v>100</v>
      </c>
      <c r="C195" s="3">
        <f>IF(AND(ISNUMBER(MATCH('Journal - Main'!$E195,Lookups!$K$5:$K$16,0))=FALSE,OR(MID('Journal - Main'!N195,4,1)="C",MID('Journal - Main'!N195,4,1)="D")),LEFT('Journal - Main'!N195,2),Input!$B$6)</f>
        <v>20</v>
      </c>
      <c r="E195" s="32" t="s">
        <v>102</v>
      </c>
      <c r="H195" s="5" t="str">
        <f>IF(D195="",CONCATENATE(C195,'Journal - Main'!D195),"")</f>
        <v>20</v>
      </c>
      <c r="K195" s="12">
        <f>ROUND(_xlfn.NUMBERVALUE('Journal - Main'!G195),2)</f>
        <v>0</v>
      </c>
      <c r="L195" s="6"/>
      <c r="M195" s="6"/>
      <c r="N195" s="6"/>
      <c r="O195" s="6"/>
      <c r="P195" s="6"/>
      <c r="Q195" s="6"/>
      <c r="R195" s="5" t="str">
        <f>CONCATENATE(Input!$B$4," ",Input!$B$5," PAY ",TEXT(Input!$B$7,"DD/MM/YY"))</f>
        <v>VIC FN PAY 21/02/24</v>
      </c>
      <c r="S195" s="5">
        <f>'Journal - Main'!B195</f>
        <v>0</v>
      </c>
      <c r="W195" s="5" t="str">
        <f t="shared" si="6"/>
        <v xml:space="preserve"> </v>
      </c>
    </row>
    <row r="196" spans="1:23" x14ac:dyDescent="0.3">
      <c r="A196" s="3">
        <f t="shared" ref="A196:A237" si="7">+A195+1</f>
        <v>195</v>
      </c>
      <c r="B196" s="4" t="s">
        <v>100</v>
      </c>
      <c r="C196" s="3">
        <f>IF(AND(ISNUMBER(MATCH('Journal - Main'!$E196,Lookups!$K$5:$K$16,0))=FALSE,OR(MID('Journal - Main'!N196,4,1)="C",MID('Journal - Main'!N196,4,1)="D")),LEFT('Journal - Main'!N196,2),Input!$B$6)</f>
        <v>20</v>
      </c>
      <c r="E196" s="32" t="s">
        <v>102</v>
      </c>
      <c r="H196" s="5" t="str">
        <f>IF(D196="",CONCATENATE(C196,'Journal - Main'!D196),"")</f>
        <v>20</v>
      </c>
      <c r="K196" s="12">
        <f>ROUND(_xlfn.NUMBERVALUE('Journal - Main'!G196),2)</f>
        <v>0</v>
      </c>
      <c r="L196" s="6"/>
      <c r="M196" s="6"/>
      <c r="N196" s="6"/>
      <c r="O196" s="6"/>
      <c r="P196" s="6"/>
      <c r="Q196" s="6"/>
      <c r="R196" s="5" t="str">
        <f>CONCATENATE(Input!$B$4," ",Input!$B$5," PAY ",TEXT(Input!$B$7,"DD/MM/YY"))</f>
        <v>VIC FN PAY 21/02/24</v>
      </c>
      <c r="S196" s="5">
        <f>'Journal - Main'!B196</f>
        <v>0</v>
      </c>
      <c r="W196" s="5" t="str">
        <f t="shared" ref="W196:W237" si="8">B196</f>
        <v xml:space="preserve"> </v>
      </c>
    </row>
    <row r="197" spans="1:23" x14ac:dyDescent="0.3">
      <c r="A197" s="3">
        <f t="shared" si="7"/>
        <v>196</v>
      </c>
      <c r="B197" s="4" t="s">
        <v>100</v>
      </c>
      <c r="C197" s="3">
        <f>IF(AND(ISNUMBER(MATCH('Journal - Main'!$E197,Lookups!$K$5:$K$16,0))=FALSE,OR(MID('Journal - Main'!N197,4,1)="C",MID('Journal - Main'!N197,4,1)="D")),LEFT('Journal - Main'!N197,2),Input!$B$6)</f>
        <v>20</v>
      </c>
      <c r="E197" s="32" t="s">
        <v>102</v>
      </c>
      <c r="H197" s="5" t="str">
        <f>IF(D197="",CONCATENATE(C197,'Journal - Main'!D197),"")</f>
        <v>20</v>
      </c>
      <c r="K197" s="12">
        <f>ROUND(_xlfn.NUMBERVALUE('Journal - Main'!G197),2)</f>
        <v>0</v>
      </c>
      <c r="L197" s="6"/>
      <c r="M197" s="6"/>
      <c r="N197" s="6"/>
      <c r="O197" s="6"/>
      <c r="P197" s="6"/>
      <c r="Q197" s="6"/>
      <c r="R197" s="5" t="str">
        <f>CONCATENATE(Input!$B$4," ",Input!$B$5," PAY ",TEXT(Input!$B$7,"DD/MM/YY"))</f>
        <v>VIC FN PAY 21/02/24</v>
      </c>
      <c r="S197" s="5">
        <f>'Journal - Main'!B197</f>
        <v>0</v>
      </c>
      <c r="W197" s="5" t="str">
        <f t="shared" si="8"/>
        <v xml:space="preserve"> </v>
      </c>
    </row>
    <row r="198" spans="1:23" x14ac:dyDescent="0.3">
      <c r="A198" s="3">
        <f t="shared" si="7"/>
        <v>197</v>
      </c>
      <c r="B198" s="4" t="s">
        <v>100</v>
      </c>
      <c r="C198" s="3">
        <f>IF(AND(ISNUMBER(MATCH('Journal - Main'!$E198,Lookups!$K$5:$K$16,0))=FALSE,OR(MID('Journal - Main'!N198,4,1)="C",MID('Journal - Main'!N198,4,1)="D")),LEFT('Journal - Main'!N198,2),Input!$B$6)</f>
        <v>20</v>
      </c>
      <c r="E198" s="32" t="s">
        <v>102</v>
      </c>
      <c r="H198" s="5" t="str">
        <f>IF(D198="",CONCATENATE(C198,'Journal - Main'!D198),"")</f>
        <v>20</v>
      </c>
      <c r="K198" s="12">
        <f>ROUND(_xlfn.NUMBERVALUE('Journal - Main'!G198),2)</f>
        <v>0</v>
      </c>
      <c r="L198" s="6"/>
      <c r="M198" s="6"/>
      <c r="N198" s="6"/>
      <c r="O198" s="6"/>
      <c r="P198" s="6"/>
      <c r="Q198" s="6"/>
      <c r="R198" s="5" t="str">
        <f>CONCATENATE(Input!$B$4," ",Input!$B$5," PAY ",TEXT(Input!$B$7,"DD/MM/YY"))</f>
        <v>VIC FN PAY 21/02/24</v>
      </c>
      <c r="S198" s="5">
        <f>'Journal - Main'!B198</f>
        <v>0</v>
      </c>
      <c r="W198" s="5" t="str">
        <f t="shared" si="8"/>
        <v xml:space="preserve"> </v>
      </c>
    </row>
    <row r="199" spans="1:23" x14ac:dyDescent="0.3">
      <c r="A199" s="3">
        <f t="shared" si="7"/>
        <v>198</v>
      </c>
      <c r="B199" s="4" t="s">
        <v>100</v>
      </c>
      <c r="C199" s="3">
        <f>IF(AND(ISNUMBER(MATCH('Journal - Main'!$E199,Lookups!$K$5:$K$16,0))=FALSE,OR(MID('Journal - Main'!N199,4,1)="C",MID('Journal - Main'!N199,4,1)="D")),LEFT('Journal - Main'!N199,2),Input!$B$6)</f>
        <v>20</v>
      </c>
      <c r="E199" s="32" t="s">
        <v>102</v>
      </c>
      <c r="H199" s="5" t="str">
        <f>IF(D199="",CONCATENATE(C199,'Journal - Main'!D199),"")</f>
        <v>20</v>
      </c>
      <c r="K199" s="12">
        <f>ROUND(_xlfn.NUMBERVALUE('Journal - Main'!G199),2)</f>
        <v>0</v>
      </c>
      <c r="L199" s="6"/>
      <c r="M199" s="6"/>
      <c r="N199" s="6"/>
      <c r="O199" s="6"/>
      <c r="P199" s="6"/>
      <c r="Q199" s="6"/>
      <c r="R199" s="5" t="str">
        <f>CONCATENATE(Input!$B$4," ",Input!$B$5," PAY ",TEXT(Input!$B$7,"DD/MM/YY"))</f>
        <v>VIC FN PAY 21/02/24</v>
      </c>
      <c r="S199" s="5">
        <f>'Journal - Main'!B199</f>
        <v>0</v>
      </c>
      <c r="W199" s="5" t="str">
        <f t="shared" si="8"/>
        <v xml:space="preserve"> </v>
      </c>
    </row>
    <row r="200" spans="1:23" x14ac:dyDescent="0.3">
      <c r="A200" s="3">
        <f t="shared" si="7"/>
        <v>199</v>
      </c>
      <c r="B200" s="4" t="s">
        <v>100</v>
      </c>
      <c r="C200" s="3">
        <f>IF(AND(ISNUMBER(MATCH('Journal - Main'!$E200,Lookups!$K$5:$K$16,0))=FALSE,OR(MID('Journal - Main'!N200,4,1)="C",MID('Journal - Main'!N200,4,1)="D")),LEFT('Journal - Main'!N200,2),Input!$B$6)</f>
        <v>20</v>
      </c>
      <c r="E200" s="32" t="s">
        <v>102</v>
      </c>
      <c r="H200" s="5" t="str">
        <f>IF(D200="",CONCATENATE(C200,'Journal - Main'!D200),"")</f>
        <v>20</v>
      </c>
      <c r="K200" s="12">
        <f>ROUND(_xlfn.NUMBERVALUE('Journal - Main'!G200),2)</f>
        <v>0</v>
      </c>
      <c r="L200" s="6"/>
      <c r="M200" s="6"/>
      <c r="N200" s="6"/>
      <c r="O200" s="6"/>
      <c r="P200" s="6"/>
      <c r="Q200" s="6"/>
      <c r="R200" s="5" t="str">
        <f>CONCATENATE(Input!$B$4," ",Input!$B$5," PAY ",TEXT(Input!$B$7,"DD/MM/YY"))</f>
        <v>VIC FN PAY 21/02/24</v>
      </c>
      <c r="S200" s="5">
        <f>'Journal - Main'!B200</f>
        <v>0</v>
      </c>
      <c r="W200" s="5" t="str">
        <f t="shared" si="8"/>
        <v xml:space="preserve"> </v>
      </c>
    </row>
    <row r="201" spans="1:23" x14ac:dyDescent="0.3">
      <c r="A201" s="3">
        <f t="shared" si="7"/>
        <v>200</v>
      </c>
      <c r="B201" s="4" t="s">
        <v>100</v>
      </c>
      <c r="C201" s="3">
        <f>IF(AND(ISNUMBER(MATCH('Journal - Main'!$E201,Lookups!$K$5:$K$16,0))=FALSE,OR(MID('Journal - Main'!N201,4,1)="C",MID('Journal - Main'!N201,4,1)="D")),LEFT('Journal - Main'!N201,2),Input!$B$6)</f>
        <v>20</v>
      </c>
      <c r="E201" s="32" t="s">
        <v>102</v>
      </c>
      <c r="H201" s="5" t="str">
        <f>IF(D201="",CONCATENATE(C201,'Journal - Main'!D201),"")</f>
        <v>20</v>
      </c>
      <c r="K201" s="12">
        <f>ROUND(_xlfn.NUMBERVALUE('Journal - Main'!G201),2)</f>
        <v>0</v>
      </c>
      <c r="L201" s="6"/>
      <c r="M201" s="6"/>
      <c r="N201" s="6"/>
      <c r="O201" s="6"/>
      <c r="P201" s="6"/>
      <c r="Q201" s="6"/>
      <c r="R201" s="5" t="str">
        <f>CONCATENATE(Input!$B$4," ",Input!$B$5," PAY ",TEXT(Input!$B$7,"DD/MM/YY"))</f>
        <v>VIC FN PAY 21/02/24</v>
      </c>
      <c r="S201" s="5">
        <f>'Journal - Main'!B201</f>
        <v>0</v>
      </c>
      <c r="W201" s="5" t="str">
        <f t="shared" si="8"/>
        <v xml:space="preserve"> </v>
      </c>
    </row>
    <row r="202" spans="1:23" x14ac:dyDescent="0.3">
      <c r="A202" s="3">
        <f t="shared" si="7"/>
        <v>201</v>
      </c>
      <c r="B202" s="4" t="s">
        <v>100</v>
      </c>
      <c r="C202" s="3">
        <f>IF(AND(ISNUMBER(MATCH('Journal - Main'!$E202,Lookups!$K$5:$K$16,0))=FALSE,OR(MID('Journal - Main'!N202,4,1)="C",MID('Journal - Main'!N202,4,1)="D")),LEFT('Journal - Main'!N202,2),Input!$B$6)</f>
        <v>20</v>
      </c>
      <c r="E202" s="32" t="s">
        <v>102</v>
      </c>
      <c r="H202" s="5" t="str">
        <f>IF(D202="",CONCATENATE(C202,'Journal - Main'!D202),"")</f>
        <v>20</v>
      </c>
      <c r="K202" s="12">
        <f>ROUND(_xlfn.NUMBERVALUE('Journal - Main'!G202),2)</f>
        <v>0</v>
      </c>
      <c r="L202" s="6"/>
      <c r="M202" s="6"/>
      <c r="N202" s="6"/>
      <c r="O202" s="6"/>
      <c r="P202" s="6"/>
      <c r="Q202" s="6"/>
      <c r="R202" s="5" t="str">
        <f>CONCATENATE(Input!$B$4," ",Input!$B$5," PAY ",TEXT(Input!$B$7,"DD/MM/YY"))</f>
        <v>VIC FN PAY 21/02/24</v>
      </c>
      <c r="S202" s="5">
        <f>'Journal - Main'!B202</f>
        <v>0</v>
      </c>
      <c r="W202" s="5" t="str">
        <f t="shared" si="8"/>
        <v xml:space="preserve"> </v>
      </c>
    </row>
    <row r="203" spans="1:23" x14ac:dyDescent="0.3">
      <c r="A203" s="3">
        <f t="shared" si="7"/>
        <v>202</v>
      </c>
      <c r="B203" s="4" t="s">
        <v>100</v>
      </c>
      <c r="C203" s="3">
        <f>IF(AND(ISNUMBER(MATCH('Journal - Main'!$E203,Lookups!$K$5:$K$16,0))=FALSE,OR(MID('Journal - Main'!N203,4,1)="C",MID('Journal - Main'!N203,4,1)="D")),LEFT('Journal - Main'!N203,2),Input!$B$6)</f>
        <v>20</v>
      </c>
      <c r="E203" s="32" t="s">
        <v>102</v>
      </c>
      <c r="H203" s="5" t="str">
        <f>IF(D203="",CONCATENATE(C203,'Journal - Main'!D203),"")</f>
        <v>20</v>
      </c>
      <c r="K203" s="12">
        <f>ROUND(_xlfn.NUMBERVALUE('Journal - Main'!G203),2)</f>
        <v>0</v>
      </c>
      <c r="L203" s="6"/>
      <c r="M203" s="6"/>
      <c r="N203" s="6"/>
      <c r="O203" s="6"/>
      <c r="P203" s="6"/>
      <c r="Q203" s="6"/>
      <c r="R203" s="5" t="str">
        <f>CONCATENATE(Input!$B$4," ",Input!$B$5," PAY ",TEXT(Input!$B$7,"DD/MM/YY"))</f>
        <v>VIC FN PAY 21/02/24</v>
      </c>
      <c r="S203" s="5">
        <f>'Journal - Main'!B203</f>
        <v>0</v>
      </c>
      <c r="W203" s="5" t="str">
        <f t="shared" si="8"/>
        <v xml:space="preserve"> </v>
      </c>
    </row>
    <row r="204" spans="1:23" x14ac:dyDescent="0.3">
      <c r="A204" s="3">
        <f t="shared" si="7"/>
        <v>203</v>
      </c>
      <c r="B204" s="4" t="s">
        <v>100</v>
      </c>
      <c r="C204" s="3">
        <f>IF(AND(ISNUMBER(MATCH('Journal - Main'!$E204,Lookups!$K$5:$K$16,0))=FALSE,OR(MID('Journal - Main'!N204,4,1)="C",MID('Journal - Main'!N204,4,1)="D")),LEFT('Journal - Main'!N204,2),Input!$B$6)</f>
        <v>20</v>
      </c>
      <c r="E204" s="32" t="s">
        <v>102</v>
      </c>
      <c r="H204" s="5" t="str">
        <f>IF(D204="",CONCATENATE(C204,'Journal - Main'!D204),"")</f>
        <v>20</v>
      </c>
      <c r="K204" s="12">
        <f>ROUND(_xlfn.NUMBERVALUE('Journal - Main'!G204),2)</f>
        <v>0</v>
      </c>
      <c r="L204" s="6"/>
      <c r="M204" s="6"/>
      <c r="N204" s="6"/>
      <c r="O204" s="6"/>
      <c r="P204" s="6"/>
      <c r="Q204" s="6"/>
      <c r="R204" s="5" t="str">
        <f>CONCATENATE(Input!$B$4," ",Input!$B$5," PAY ",TEXT(Input!$B$7,"DD/MM/YY"))</f>
        <v>VIC FN PAY 21/02/24</v>
      </c>
      <c r="S204" s="5">
        <f>'Journal - Main'!B204</f>
        <v>0</v>
      </c>
      <c r="W204" s="5" t="str">
        <f t="shared" si="8"/>
        <v xml:space="preserve"> </v>
      </c>
    </row>
    <row r="205" spans="1:23" x14ac:dyDescent="0.3">
      <c r="A205" s="3">
        <f t="shared" si="7"/>
        <v>204</v>
      </c>
      <c r="B205" s="4" t="s">
        <v>100</v>
      </c>
      <c r="C205" s="3">
        <f>IF(AND(ISNUMBER(MATCH('Journal - Main'!$E205,Lookups!$K$5:$K$16,0))=FALSE,OR(MID('Journal - Main'!N205,4,1)="C",MID('Journal - Main'!N205,4,1)="D")),LEFT('Journal - Main'!N205,2),Input!$B$6)</f>
        <v>20</v>
      </c>
      <c r="E205" s="32" t="s">
        <v>102</v>
      </c>
      <c r="H205" s="5" t="str">
        <f>IF(D205="",CONCATENATE(C205,'Journal - Main'!D205),"")</f>
        <v>20</v>
      </c>
      <c r="K205" s="12">
        <f>ROUND(_xlfn.NUMBERVALUE('Journal - Main'!G205),2)</f>
        <v>0</v>
      </c>
      <c r="L205" s="6"/>
      <c r="M205" s="6"/>
      <c r="N205" s="6"/>
      <c r="O205" s="6"/>
      <c r="P205" s="6"/>
      <c r="Q205" s="6"/>
      <c r="R205" s="5" t="str">
        <f>CONCATENATE(Input!$B$4," ",Input!$B$5," PAY ",TEXT(Input!$B$7,"DD/MM/YY"))</f>
        <v>VIC FN PAY 21/02/24</v>
      </c>
      <c r="S205" s="5">
        <f>'Journal - Main'!B205</f>
        <v>0</v>
      </c>
      <c r="W205" s="5" t="str">
        <f t="shared" si="8"/>
        <v xml:space="preserve"> </v>
      </c>
    </row>
    <row r="206" spans="1:23" x14ac:dyDescent="0.3">
      <c r="A206" s="3">
        <f t="shared" si="7"/>
        <v>205</v>
      </c>
      <c r="B206" s="4" t="s">
        <v>100</v>
      </c>
      <c r="C206" s="3">
        <f>IF(AND(ISNUMBER(MATCH('Journal - Main'!$E206,Lookups!$K$5:$K$16,0))=FALSE,OR(MID('Journal - Main'!N206,4,1)="C",MID('Journal - Main'!N206,4,1)="D")),LEFT('Journal - Main'!N206,2),Input!$B$6)</f>
        <v>20</v>
      </c>
      <c r="E206" s="32" t="s">
        <v>102</v>
      </c>
      <c r="H206" s="5" t="str">
        <f>IF(D206="",CONCATENATE(C206,'Journal - Main'!D206),"")</f>
        <v>20</v>
      </c>
      <c r="K206" s="12">
        <f>ROUND(_xlfn.NUMBERVALUE('Journal - Main'!G206),2)</f>
        <v>0</v>
      </c>
      <c r="L206" s="6"/>
      <c r="M206" s="6"/>
      <c r="N206" s="6"/>
      <c r="O206" s="6"/>
      <c r="P206" s="6"/>
      <c r="Q206" s="6"/>
      <c r="R206" s="5" t="str">
        <f>CONCATENATE(Input!$B$4," ",Input!$B$5," PAY ",TEXT(Input!$B$7,"DD/MM/YY"))</f>
        <v>VIC FN PAY 21/02/24</v>
      </c>
      <c r="S206" s="5">
        <f>'Journal - Main'!B206</f>
        <v>0</v>
      </c>
      <c r="W206" s="5" t="str">
        <f t="shared" si="8"/>
        <v xml:space="preserve"> </v>
      </c>
    </row>
    <row r="207" spans="1:23" x14ac:dyDescent="0.3">
      <c r="A207" s="3">
        <f t="shared" si="7"/>
        <v>206</v>
      </c>
      <c r="B207" s="4" t="s">
        <v>100</v>
      </c>
      <c r="C207" s="3">
        <f>IF(AND(ISNUMBER(MATCH('Journal - Main'!$E207,Lookups!$K$5:$K$16,0))=FALSE,OR(MID('Journal - Main'!N207,4,1)="C",MID('Journal - Main'!N207,4,1)="D")),LEFT('Journal - Main'!N207,2),Input!$B$6)</f>
        <v>20</v>
      </c>
      <c r="E207" s="32" t="s">
        <v>102</v>
      </c>
      <c r="H207" s="5" t="str">
        <f>IF(D207="",CONCATENATE(C207,'Journal - Main'!D207),"")</f>
        <v>20</v>
      </c>
      <c r="K207" s="12">
        <f>ROUND(_xlfn.NUMBERVALUE('Journal - Main'!G207),2)</f>
        <v>0</v>
      </c>
      <c r="L207" s="6"/>
      <c r="M207" s="6"/>
      <c r="N207" s="6"/>
      <c r="O207" s="6"/>
      <c r="P207" s="6"/>
      <c r="Q207" s="6"/>
      <c r="R207" s="5" t="str">
        <f>CONCATENATE(Input!$B$4," ",Input!$B$5," PAY ",TEXT(Input!$B$7,"DD/MM/YY"))</f>
        <v>VIC FN PAY 21/02/24</v>
      </c>
      <c r="S207" s="5">
        <f>'Journal - Main'!B207</f>
        <v>0</v>
      </c>
      <c r="W207" s="5" t="str">
        <f t="shared" si="8"/>
        <v xml:space="preserve"> </v>
      </c>
    </row>
    <row r="208" spans="1:23" x14ac:dyDescent="0.3">
      <c r="A208" s="3">
        <f t="shared" si="7"/>
        <v>207</v>
      </c>
      <c r="B208" s="4" t="s">
        <v>100</v>
      </c>
      <c r="C208" s="3">
        <f>IF(AND(ISNUMBER(MATCH('Journal - Main'!$E208,Lookups!$K$5:$K$16,0))=FALSE,OR(MID('Journal - Main'!N208,4,1)="C",MID('Journal - Main'!N208,4,1)="D")),LEFT('Journal - Main'!N208,2),Input!$B$6)</f>
        <v>20</v>
      </c>
      <c r="E208" s="32" t="s">
        <v>102</v>
      </c>
      <c r="H208" s="5" t="str">
        <f>IF(D208="",CONCATENATE(C208,'Journal - Main'!D208),"")</f>
        <v>20</v>
      </c>
      <c r="K208" s="12">
        <f>ROUND(_xlfn.NUMBERVALUE('Journal - Main'!G208),2)</f>
        <v>0</v>
      </c>
      <c r="L208" s="6"/>
      <c r="M208" s="6"/>
      <c r="N208" s="6"/>
      <c r="O208" s="6"/>
      <c r="P208" s="6"/>
      <c r="Q208" s="6"/>
      <c r="R208" s="5" t="str">
        <f>CONCATENATE(Input!$B$4," ",Input!$B$5," PAY ",TEXT(Input!$B$7,"DD/MM/YY"))</f>
        <v>VIC FN PAY 21/02/24</v>
      </c>
      <c r="S208" s="5">
        <f>'Journal - Main'!B208</f>
        <v>0</v>
      </c>
      <c r="W208" s="5" t="str">
        <f t="shared" si="8"/>
        <v xml:space="preserve"> </v>
      </c>
    </row>
    <row r="209" spans="1:23" x14ac:dyDescent="0.3">
      <c r="A209" s="3">
        <f t="shared" si="7"/>
        <v>208</v>
      </c>
      <c r="B209" s="4" t="s">
        <v>100</v>
      </c>
      <c r="C209" s="3">
        <f>IF(AND(ISNUMBER(MATCH('Journal - Main'!$E209,Lookups!$K$5:$K$16,0))=FALSE,OR(MID('Journal - Main'!N209,4,1)="C",MID('Journal - Main'!N209,4,1)="D")),LEFT('Journal - Main'!N209,2),Input!$B$6)</f>
        <v>20</v>
      </c>
      <c r="E209" s="32" t="s">
        <v>102</v>
      </c>
      <c r="H209" s="5" t="str">
        <f>IF(D209="",CONCATENATE(C209,'Journal - Main'!D209),"")</f>
        <v>20</v>
      </c>
      <c r="K209" s="12">
        <f>ROUND(_xlfn.NUMBERVALUE('Journal - Main'!G209),2)</f>
        <v>0</v>
      </c>
      <c r="L209" s="6"/>
      <c r="M209" s="6"/>
      <c r="N209" s="6"/>
      <c r="O209" s="6"/>
      <c r="P209" s="6"/>
      <c r="Q209" s="6"/>
      <c r="R209" s="5" t="str">
        <f>CONCATENATE(Input!$B$4," ",Input!$B$5," PAY ",TEXT(Input!$B$7,"DD/MM/YY"))</f>
        <v>VIC FN PAY 21/02/24</v>
      </c>
      <c r="S209" s="5">
        <f>'Journal - Main'!B209</f>
        <v>0</v>
      </c>
      <c r="W209" s="5" t="str">
        <f t="shared" si="8"/>
        <v xml:space="preserve"> </v>
      </c>
    </row>
    <row r="210" spans="1:23" x14ac:dyDescent="0.3">
      <c r="A210" s="3">
        <f t="shared" si="7"/>
        <v>209</v>
      </c>
      <c r="B210" s="4" t="s">
        <v>100</v>
      </c>
      <c r="C210" s="3">
        <f>IF(AND(ISNUMBER(MATCH('Journal - Main'!$E210,Lookups!$K$5:$K$16,0))=FALSE,OR(MID('Journal - Main'!N210,4,1)="C",MID('Journal - Main'!N210,4,1)="D")),LEFT('Journal - Main'!N210,2),Input!$B$6)</f>
        <v>20</v>
      </c>
      <c r="E210" s="32" t="s">
        <v>102</v>
      </c>
      <c r="H210" s="5" t="str">
        <f>IF(D210="",CONCATENATE(C210,'Journal - Main'!D210),"")</f>
        <v>20</v>
      </c>
      <c r="K210" s="12">
        <f>ROUND(_xlfn.NUMBERVALUE('Journal - Main'!G210),2)</f>
        <v>0</v>
      </c>
      <c r="L210" s="6"/>
      <c r="M210" s="6"/>
      <c r="N210" s="6"/>
      <c r="O210" s="6"/>
      <c r="P210" s="6"/>
      <c r="Q210" s="6"/>
      <c r="R210" s="5" t="str">
        <f>CONCATENATE(Input!$B$4," ",Input!$B$5," PAY ",TEXT(Input!$B$7,"DD/MM/YY"))</f>
        <v>VIC FN PAY 21/02/24</v>
      </c>
      <c r="S210" s="5">
        <f>'Journal - Main'!B210</f>
        <v>0</v>
      </c>
      <c r="W210" s="5" t="str">
        <f t="shared" si="8"/>
        <v xml:space="preserve"> </v>
      </c>
    </row>
    <row r="211" spans="1:23" x14ac:dyDescent="0.3">
      <c r="A211" s="3">
        <f t="shared" si="7"/>
        <v>210</v>
      </c>
      <c r="B211" s="4" t="s">
        <v>100</v>
      </c>
      <c r="C211" s="3">
        <f>IF(AND(ISNUMBER(MATCH('Journal - Main'!$E211,Lookups!$K$5:$K$16,0))=FALSE,OR(MID('Journal - Main'!N211,4,1)="C",MID('Journal - Main'!N211,4,1)="D")),LEFT('Journal - Main'!N211,2),Input!$B$6)</f>
        <v>20</v>
      </c>
      <c r="E211" s="32" t="s">
        <v>102</v>
      </c>
      <c r="H211" s="5" t="str">
        <f>IF(D211="",CONCATENATE(C211,'Journal - Main'!D211),"")</f>
        <v>20</v>
      </c>
      <c r="K211" s="12">
        <f>ROUND(_xlfn.NUMBERVALUE('Journal - Main'!G211),2)</f>
        <v>0</v>
      </c>
      <c r="L211" s="6"/>
      <c r="M211" s="6"/>
      <c r="N211" s="6"/>
      <c r="O211" s="6"/>
      <c r="P211" s="6"/>
      <c r="Q211" s="6"/>
      <c r="R211" s="5" t="str">
        <f>CONCATENATE(Input!$B$4," ",Input!$B$5," PAY ",TEXT(Input!$B$7,"DD/MM/YY"))</f>
        <v>VIC FN PAY 21/02/24</v>
      </c>
      <c r="S211" s="5">
        <f>'Journal - Main'!B211</f>
        <v>0</v>
      </c>
      <c r="W211" s="5" t="str">
        <f t="shared" si="8"/>
        <v xml:space="preserve"> </v>
      </c>
    </row>
    <row r="212" spans="1:23" x14ac:dyDescent="0.3">
      <c r="A212" s="3">
        <f t="shared" si="7"/>
        <v>211</v>
      </c>
      <c r="B212" s="4" t="s">
        <v>100</v>
      </c>
      <c r="C212" s="3">
        <f>IF(AND(ISNUMBER(MATCH('Journal - Main'!$E212,Lookups!$K$5:$K$16,0))=FALSE,OR(MID('Journal - Main'!N212,4,1)="C",MID('Journal - Main'!N212,4,1)="D")),LEFT('Journal - Main'!N212,2),Input!$B$6)</f>
        <v>20</v>
      </c>
      <c r="E212" s="32" t="s">
        <v>102</v>
      </c>
      <c r="H212" s="5" t="str">
        <f>IF(D212="",CONCATENATE(C212,'Journal - Main'!D212),"")</f>
        <v>20</v>
      </c>
      <c r="K212" s="12">
        <f>ROUND(_xlfn.NUMBERVALUE('Journal - Main'!G212),2)</f>
        <v>0</v>
      </c>
      <c r="L212" s="6"/>
      <c r="M212" s="6"/>
      <c r="N212" s="6"/>
      <c r="O212" s="6"/>
      <c r="P212" s="6"/>
      <c r="Q212" s="6"/>
      <c r="R212" s="5" t="str">
        <f>CONCATENATE(Input!$B$4," ",Input!$B$5," PAY ",TEXT(Input!$B$7,"DD/MM/YY"))</f>
        <v>VIC FN PAY 21/02/24</v>
      </c>
      <c r="S212" s="5">
        <f>'Journal - Main'!B212</f>
        <v>0</v>
      </c>
      <c r="W212" s="5" t="str">
        <f t="shared" si="8"/>
        <v xml:space="preserve"> </v>
      </c>
    </row>
    <row r="213" spans="1:23" x14ac:dyDescent="0.3">
      <c r="A213" s="3">
        <f t="shared" si="7"/>
        <v>212</v>
      </c>
      <c r="B213" s="4" t="s">
        <v>100</v>
      </c>
      <c r="C213" s="3">
        <f>IF(AND(ISNUMBER(MATCH('Journal - Main'!$E213,Lookups!$K$5:$K$16,0))=FALSE,OR(MID('Journal - Main'!N213,4,1)="C",MID('Journal - Main'!N213,4,1)="D")),LEFT('Journal - Main'!N213,2),Input!$B$6)</f>
        <v>20</v>
      </c>
      <c r="E213" s="32" t="s">
        <v>102</v>
      </c>
      <c r="H213" s="5" t="str">
        <f>IF(D213="",CONCATENATE(C213,'Journal - Main'!D213),"")</f>
        <v>20</v>
      </c>
      <c r="K213" s="12">
        <f>ROUND(_xlfn.NUMBERVALUE('Journal - Main'!G213),2)</f>
        <v>0</v>
      </c>
      <c r="L213" s="6"/>
      <c r="M213" s="6"/>
      <c r="N213" s="6"/>
      <c r="O213" s="6"/>
      <c r="P213" s="6"/>
      <c r="Q213" s="6"/>
      <c r="R213" s="5" t="str">
        <f>CONCATENATE(Input!$B$4," ",Input!$B$5," PAY ",TEXT(Input!$B$7,"DD/MM/YY"))</f>
        <v>VIC FN PAY 21/02/24</v>
      </c>
      <c r="S213" s="5">
        <f>'Journal - Main'!B213</f>
        <v>0</v>
      </c>
      <c r="W213" s="5" t="str">
        <f t="shared" si="8"/>
        <v xml:space="preserve"> </v>
      </c>
    </row>
    <row r="214" spans="1:23" x14ac:dyDescent="0.3">
      <c r="A214" s="3">
        <f t="shared" si="7"/>
        <v>213</v>
      </c>
      <c r="B214" s="4" t="s">
        <v>100</v>
      </c>
      <c r="C214" s="3">
        <f>IF(AND(ISNUMBER(MATCH('Journal - Main'!$E214,Lookups!$K$5:$K$16,0))=FALSE,OR(MID('Journal - Main'!N214,4,1)="C",MID('Journal - Main'!N214,4,1)="D")),LEFT('Journal - Main'!N214,2),Input!$B$6)</f>
        <v>20</v>
      </c>
      <c r="E214" s="32" t="s">
        <v>102</v>
      </c>
      <c r="H214" s="5" t="str">
        <f>IF(D214="",CONCATENATE(C214,'Journal - Main'!D214),"")</f>
        <v>20</v>
      </c>
      <c r="K214" s="12">
        <f>ROUND(_xlfn.NUMBERVALUE('Journal - Main'!G214),2)</f>
        <v>0</v>
      </c>
      <c r="L214" s="6"/>
      <c r="M214" s="6"/>
      <c r="N214" s="6"/>
      <c r="O214" s="6"/>
      <c r="P214" s="6"/>
      <c r="Q214" s="6"/>
      <c r="R214" s="5" t="str">
        <f>CONCATENATE(Input!$B$4," ",Input!$B$5," PAY ",TEXT(Input!$B$7,"DD/MM/YY"))</f>
        <v>VIC FN PAY 21/02/24</v>
      </c>
      <c r="S214" s="5">
        <f>'Journal - Main'!B214</f>
        <v>0</v>
      </c>
      <c r="W214" s="5" t="str">
        <f t="shared" si="8"/>
        <v xml:space="preserve"> </v>
      </c>
    </row>
    <row r="215" spans="1:23" x14ac:dyDescent="0.3">
      <c r="A215" s="3">
        <f t="shared" si="7"/>
        <v>214</v>
      </c>
      <c r="B215" s="4" t="s">
        <v>100</v>
      </c>
      <c r="C215" s="3">
        <f>IF(AND(ISNUMBER(MATCH('Journal - Main'!$E215,Lookups!$K$5:$K$16,0))=FALSE,OR(MID('Journal - Main'!N215,4,1)="C",MID('Journal - Main'!N215,4,1)="D")),LEFT('Journal - Main'!N215,2),Input!$B$6)</f>
        <v>20</v>
      </c>
      <c r="E215" s="32" t="s">
        <v>102</v>
      </c>
      <c r="H215" s="5" t="str">
        <f>IF(D215="",CONCATENATE(C215,'Journal - Main'!D215),"")</f>
        <v>20</v>
      </c>
      <c r="K215" s="12">
        <f>ROUND(_xlfn.NUMBERVALUE('Journal - Main'!G215),2)</f>
        <v>0</v>
      </c>
      <c r="L215" s="6"/>
      <c r="M215" s="6"/>
      <c r="N215" s="6"/>
      <c r="O215" s="6"/>
      <c r="P215" s="6"/>
      <c r="Q215" s="6"/>
      <c r="R215" s="5" t="str">
        <f>CONCATENATE(Input!$B$4," ",Input!$B$5," PAY ",TEXT(Input!$B$7,"DD/MM/YY"))</f>
        <v>VIC FN PAY 21/02/24</v>
      </c>
      <c r="S215" s="5">
        <f>'Journal - Main'!B215</f>
        <v>0</v>
      </c>
      <c r="W215" s="5" t="str">
        <f t="shared" si="8"/>
        <v xml:space="preserve"> </v>
      </c>
    </row>
    <row r="216" spans="1:23" x14ac:dyDescent="0.3">
      <c r="A216" s="3">
        <f t="shared" si="7"/>
        <v>215</v>
      </c>
      <c r="B216" s="4" t="s">
        <v>100</v>
      </c>
      <c r="C216" s="3">
        <f>IF(AND(ISNUMBER(MATCH('Journal - Main'!$E216,Lookups!$K$5:$K$16,0))=FALSE,OR(MID('Journal - Main'!N216,4,1)="C",MID('Journal - Main'!N216,4,1)="D")),LEFT('Journal - Main'!N216,2),Input!$B$6)</f>
        <v>20</v>
      </c>
      <c r="E216" s="32" t="s">
        <v>102</v>
      </c>
      <c r="H216" s="5" t="str">
        <f>IF(D216="",CONCATENATE(C216,'Journal - Main'!D216),"")</f>
        <v>20</v>
      </c>
      <c r="K216" s="12">
        <f>ROUND(_xlfn.NUMBERVALUE('Journal - Main'!G216),2)</f>
        <v>0</v>
      </c>
      <c r="L216" s="6"/>
      <c r="M216" s="6"/>
      <c r="N216" s="6"/>
      <c r="O216" s="6"/>
      <c r="P216" s="6"/>
      <c r="Q216" s="6"/>
      <c r="R216" s="5" t="str">
        <f>CONCATENATE(Input!$B$4," ",Input!$B$5," PAY ",TEXT(Input!$B$7,"DD/MM/YY"))</f>
        <v>VIC FN PAY 21/02/24</v>
      </c>
      <c r="S216" s="5">
        <f>'Journal - Main'!B216</f>
        <v>0</v>
      </c>
      <c r="W216" s="5" t="str">
        <f t="shared" si="8"/>
        <v xml:space="preserve"> </v>
      </c>
    </row>
    <row r="217" spans="1:23" x14ac:dyDescent="0.3">
      <c r="A217" s="3">
        <f t="shared" si="7"/>
        <v>216</v>
      </c>
      <c r="B217" s="4" t="s">
        <v>100</v>
      </c>
      <c r="C217" s="3">
        <f>IF(AND(ISNUMBER(MATCH('Journal - Main'!$E217,Lookups!$K$5:$K$16,0))=FALSE,OR(MID('Journal - Main'!N217,4,1)="C",MID('Journal - Main'!N217,4,1)="D")),LEFT('Journal - Main'!N217,2),Input!$B$6)</f>
        <v>20</v>
      </c>
      <c r="E217" s="32" t="s">
        <v>102</v>
      </c>
      <c r="H217" s="5" t="str">
        <f>IF(D217="",CONCATENATE(C217,'Journal - Main'!D217),"")</f>
        <v>20</v>
      </c>
      <c r="K217" s="12">
        <f>ROUND(_xlfn.NUMBERVALUE('Journal - Main'!G217),2)</f>
        <v>0</v>
      </c>
      <c r="L217" s="6"/>
      <c r="M217" s="6"/>
      <c r="N217" s="6"/>
      <c r="O217" s="6"/>
      <c r="P217" s="6"/>
      <c r="Q217" s="6"/>
      <c r="R217" s="5" t="str">
        <f>CONCATENATE(Input!$B$4," ",Input!$B$5," PAY ",TEXT(Input!$B$7,"DD/MM/YY"))</f>
        <v>VIC FN PAY 21/02/24</v>
      </c>
      <c r="S217" s="5">
        <f>'Journal - Main'!B217</f>
        <v>0</v>
      </c>
      <c r="W217" s="5" t="str">
        <f t="shared" si="8"/>
        <v xml:space="preserve"> </v>
      </c>
    </row>
    <row r="218" spans="1:23" x14ac:dyDescent="0.3">
      <c r="A218" s="3">
        <f t="shared" si="7"/>
        <v>217</v>
      </c>
      <c r="B218" s="4" t="s">
        <v>100</v>
      </c>
      <c r="C218" s="3">
        <f>IF(AND(ISNUMBER(MATCH('Journal - Main'!$E218,Lookups!$K$5:$K$16,0))=FALSE,OR(MID('Journal - Main'!N218,4,1)="C",MID('Journal - Main'!N218,4,1)="D")),LEFT('Journal - Main'!N218,2),Input!$B$6)</f>
        <v>20</v>
      </c>
      <c r="E218" s="32" t="s">
        <v>102</v>
      </c>
      <c r="H218" s="5" t="str">
        <f>IF(D218="",CONCATENATE(C218,'Journal - Main'!D218),"")</f>
        <v>20</v>
      </c>
      <c r="K218" s="12">
        <f>ROUND(_xlfn.NUMBERVALUE('Journal - Main'!G218),2)</f>
        <v>0</v>
      </c>
      <c r="L218" s="6"/>
      <c r="M218" s="6"/>
      <c r="N218" s="6"/>
      <c r="O218" s="6"/>
      <c r="P218" s="6"/>
      <c r="Q218" s="6"/>
      <c r="R218" s="5" t="str">
        <f>CONCATENATE(Input!$B$4," ",Input!$B$5," PAY ",TEXT(Input!$B$7,"DD/MM/YY"))</f>
        <v>VIC FN PAY 21/02/24</v>
      </c>
      <c r="S218" s="5">
        <f>'Journal - Main'!B218</f>
        <v>0</v>
      </c>
      <c r="W218" s="5" t="str">
        <f t="shared" si="8"/>
        <v xml:space="preserve"> </v>
      </c>
    </row>
    <row r="219" spans="1:23" x14ac:dyDescent="0.3">
      <c r="A219" s="3">
        <f t="shared" si="7"/>
        <v>218</v>
      </c>
      <c r="B219" s="4" t="s">
        <v>100</v>
      </c>
      <c r="C219" s="3">
        <f>IF(AND(ISNUMBER(MATCH('Journal - Main'!$E219,Lookups!$K$5:$K$16,0))=FALSE,OR(MID('Journal - Main'!N219,4,1)="C",MID('Journal - Main'!N219,4,1)="D")),LEFT('Journal - Main'!N219,2),Input!$B$6)</f>
        <v>20</v>
      </c>
      <c r="E219" s="32" t="s">
        <v>102</v>
      </c>
      <c r="H219" s="5" t="str">
        <f>IF(D219="",CONCATENATE(C219,'Journal - Main'!D219),"")</f>
        <v>20</v>
      </c>
      <c r="K219" s="12">
        <f>ROUND(_xlfn.NUMBERVALUE('Journal - Main'!G219),2)</f>
        <v>0</v>
      </c>
      <c r="L219" s="6"/>
      <c r="M219" s="6"/>
      <c r="N219" s="6"/>
      <c r="O219" s="6"/>
      <c r="P219" s="6"/>
      <c r="Q219" s="6"/>
      <c r="R219" s="5" t="str">
        <f>CONCATENATE(Input!$B$4," ",Input!$B$5," PAY ",TEXT(Input!$B$7,"DD/MM/YY"))</f>
        <v>VIC FN PAY 21/02/24</v>
      </c>
      <c r="S219" s="5">
        <f>'Journal - Main'!B219</f>
        <v>0</v>
      </c>
      <c r="W219" s="5" t="str">
        <f t="shared" si="8"/>
        <v xml:space="preserve"> </v>
      </c>
    </row>
    <row r="220" spans="1:23" x14ac:dyDescent="0.3">
      <c r="A220" s="3">
        <f t="shared" si="7"/>
        <v>219</v>
      </c>
      <c r="B220" s="4" t="s">
        <v>100</v>
      </c>
      <c r="C220" s="3">
        <f>IF(AND(ISNUMBER(MATCH('Journal - Main'!$E220,Lookups!$K$5:$K$16,0))=FALSE,OR(MID('Journal - Main'!N220,4,1)="C",MID('Journal - Main'!N220,4,1)="D")),LEFT('Journal - Main'!N220,2),Input!$B$6)</f>
        <v>20</v>
      </c>
      <c r="E220" s="32" t="s">
        <v>102</v>
      </c>
      <c r="H220" s="5" t="str">
        <f>IF(D220="",CONCATENATE(C220,'Journal - Main'!D220),"")</f>
        <v>20</v>
      </c>
      <c r="K220" s="12">
        <f>ROUND(_xlfn.NUMBERVALUE('Journal - Main'!G220),2)</f>
        <v>0</v>
      </c>
      <c r="L220" s="6"/>
      <c r="M220" s="6"/>
      <c r="N220" s="6"/>
      <c r="O220" s="6"/>
      <c r="P220" s="6"/>
      <c r="Q220" s="6"/>
      <c r="R220" s="5" t="str">
        <f>CONCATENATE(Input!$B$4," ",Input!$B$5," PAY ",TEXT(Input!$B$7,"DD/MM/YY"))</f>
        <v>VIC FN PAY 21/02/24</v>
      </c>
      <c r="S220" s="5">
        <f>'Journal - Main'!B220</f>
        <v>0</v>
      </c>
      <c r="W220" s="5" t="str">
        <f t="shared" si="8"/>
        <v xml:space="preserve"> </v>
      </c>
    </row>
    <row r="221" spans="1:23" x14ac:dyDescent="0.3">
      <c r="A221" s="3">
        <f t="shared" si="7"/>
        <v>220</v>
      </c>
      <c r="B221" s="4" t="s">
        <v>100</v>
      </c>
      <c r="C221" s="3">
        <f>IF(AND(ISNUMBER(MATCH('Journal - Main'!$E221,Lookups!$K$5:$K$16,0))=FALSE,OR(MID('Journal - Main'!N221,4,1)="C",MID('Journal - Main'!N221,4,1)="D")),LEFT('Journal - Main'!N221,2),Input!$B$6)</f>
        <v>20</v>
      </c>
      <c r="E221" s="32" t="s">
        <v>102</v>
      </c>
      <c r="H221" s="5" t="str">
        <f>IF(D221="",CONCATENATE(C221,'Journal - Main'!D221),"")</f>
        <v>20</v>
      </c>
      <c r="K221" s="12">
        <f>ROUND(_xlfn.NUMBERVALUE('Journal - Main'!G221),2)</f>
        <v>0</v>
      </c>
      <c r="L221" s="6"/>
      <c r="M221" s="6"/>
      <c r="N221" s="6"/>
      <c r="O221" s="6"/>
      <c r="P221" s="6"/>
      <c r="Q221" s="6"/>
      <c r="R221" s="5" t="str">
        <f>CONCATENATE(Input!$B$4," ",Input!$B$5," PAY ",TEXT(Input!$B$7,"DD/MM/YY"))</f>
        <v>VIC FN PAY 21/02/24</v>
      </c>
      <c r="S221" s="5">
        <f>'Journal - Main'!B221</f>
        <v>0</v>
      </c>
      <c r="W221" s="5" t="str">
        <f t="shared" si="8"/>
        <v xml:space="preserve"> </v>
      </c>
    </row>
    <row r="222" spans="1:23" x14ac:dyDescent="0.3">
      <c r="A222" s="3">
        <f t="shared" si="7"/>
        <v>221</v>
      </c>
      <c r="B222" s="4" t="s">
        <v>100</v>
      </c>
      <c r="C222" s="3">
        <f>IF(AND(ISNUMBER(MATCH('Journal - Main'!$E222,Lookups!$K$5:$K$16,0))=FALSE,OR(MID('Journal - Main'!N222,4,1)="C",MID('Journal - Main'!N222,4,1)="D")),LEFT('Journal - Main'!N222,2),Input!$B$6)</f>
        <v>20</v>
      </c>
      <c r="E222" s="32" t="s">
        <v>102</v>
      </c>
      <c r="H222" s="5" t="str">
        <f>IF(D222="",CONCATENATE(C222,'Journal - Main'!D222),"")</f>
        <v>20</v>
      </c>
      <c r="K222" s="12">
        <f>ROUND(_xlfn.NUMBERVALUE('Journal - Main'!G222),2)</f>
        <v>0</v>
      </c>
      <c r="L222" s="6"/>
      <c r="M222" s="6"/>
      <c r="N222" s="6"/>
      <c r="O222" s="6"/>
      <c r="P222" s="6"/>
      <c r="Q222" s="6"/>
      <c r="R222" s="5" t="str">
        <f>CONCATENATE(Input!$B$4," ",Input!$B$5," PAY ",TEXT(Input!$B$7,"DD/MM/YY"))</f>
        <v>VIC FN PAY 21/02/24</v>
      </c>
      <c r="S222" s="5">
        <f>'Journal - Main'!B222</f>
        <v>0</v>
      </c>
      <c r="W222" s="5" t="str">
        <f t="shared" si="8"/>
        <v xml:space="preserve"> </v>
      </c>
    </row>
    <row r="223" spans="1:23" x14ac:dyDescent="0.3">
      <c r="A223" s="3">
        <f t="shared" si="7"/>
        <v>222</v>
      </c>
      <c r="B223" s="4" t="s">
        <v>100</v>
      </c>
      <c r="C223" s="3">
        <f>IF(AND(ISNUMBER(MATCH('Journal - Main'!$E223,Lookups!$K$5:$K$16,0))=FALSE,OR(MID('Journal - Main'!N223,4,1)="C",MID('Journal - Main'!N223,4,1)="D")),LEFT('Journal - Main'!N223,2),Input!$B$6)</f>
        <v>20</v>
      </c>
      <c r="E223" s="32" t="s">
        <v>102</v>
      </c>
      <c r="H223" s="5" t="str">
        <f>IF(D223="",CONCATENATE(C223,'Journal - Main'!D223),"")</f>
        <v>20</v>
      </c>
      <c r="K223" s="12">
        <f>ROUND(_xlfn.NUMBERVALUE('Journal - Main'!G223),2)</f>
        <v>0</v>
      </c>
      <c r="L223" s="6"/>
      <c r="M223" s="6"/>
      <c r="N223" s="6"/>
      <c r="O223" s="6"/>
      <c r="P223" s="6"/>
      <c r="Q223" s="6"/>
      <c r="R223" s="5" t="str">
        <f>CONCATENATE(Input!$B$4," ",Input!$B$5," PAY ",TEXT(Input!$B$7,"DD/MM/YY"))</f>
        <v>VIC FN PAY 21/02/24</v>
      </c>
      <c r="S223" s="5">
        <f>'Journal - Main'!B223</f>
        <v>0</v>
      </c>
      <c r="W223" s="5" t="str">
        <f t="shared" si="8"/>
        <v xml:space="preserve"> </v>
      </c>
    </row>
    <row r="224" spans="1:23" x14ac:dyDescent="0.3">
      <c r="A224" s="3">
        <f t="shared" si="7"/>
        <v>223</v>
      </c>
      <c r="B224" s="4" t="s">
        <v>100</v>
      </c>
      <c r="C224" s="3">
        <f>IF(AND(ISNUMBER(MATCH('Journal - Main'!$E224,Lookups!$K$5:$K$16,0))=FALSE,OR(MID('Journal - Main'!N224,4,1)="C",MID('Journal - Main'!N224,4,1)="D")),LEFT('Journal - Main'!N224,2),Input!$B$6)</f>
        <v>20</v>
      </c>
      <c r="E224" s="32" t="s">
        <v>102</v>
      </c>
      <c r="H224" s="5" t="str">
        <f>IF(D224="",CONCATENATE(C224,'Journal - Main'!D224),"")</f>
        <v>20</v>
      </c>
      <c r="K224" s="12">
        <f>ROUND(_xlfn.NUMBERVALUE('Journal - Main'!G224),2)</f>
        <v>0</v>
      </c>
      <c r="L224" s="6"/>
      <c r="M224" s="6"/>
      <c r="N224" s="6"/>
      <c r="O224" s="6"/>
      <c r="P224" s="6"/>
      <c r="Q224" s="6"/>
      <c r="R224" s="5" t="str">
        <f>CONCATENATE(Input!$B$4," ",Input!$B$5," PAY ",TEXT(Input!$B$7,"DD/MM/YY"))</f>
        <v>VIC FN PAY 21/02/24</v>
      </c>
      <c r="S224" s="5">
        <f>'Journal - Main'!B224</f>
        <v>0</v>
      </c>
      <c r="W224" s="5" t="str">
        <f t="shared" si="8"/>
        <v xml:space="preserve"> </v>
      </c>
    </row>
    <row r="225" spans="1:24" x14ac:dyDescent="0.3">
      <c r="A225" s="3">
        <f t="shared" si="7"/>
        <v>224</v>
      </c>
      <c r="B225" s="4" t="s">
        <v>100</v>
      </c>
      <c r="C225" s="3">
        <f>IF(AND(ISNUMBER(MATCH('Journal - Main'!$E225,Lookups!$K$5:$K$16,0))=FALSE,OR(MID('Journal - Main'!N225,4,1)="C",MID('Journal - Main'!N225,4,1)="D")),LEFT('Journal - Main'!N225,2),Input!$B$6)</f>
        <v>20</v>
      </c>
      <c r="E225" s="32" t="s">
        <v>102</v>
      </c>
      <c r="H225" s="5" t="str">
        <f>IF(D225="",CONCATENATE(C225,'Journal - Main'!D225),"")</f>
        <v>20</v>
      </c>
      <c r="K225" s="12">
        <f>ROUND(_xlfn.NUMBERVALUE('Journal - Main'!G225),2)</f>
        <v>0</v>
      </c>
      <c r="L225" s="6"/>
      <c r="M225" s="6"/>
      <c r="N225" s="6"/>
      <c r="O225" s="6"/>
      <c r="P225" s="6"/>
      <c r="Q225" s="6"/>
      <c r="R225" s="5" t="str">
        <f>CONCATENATE(Input!$B$4," ",Input!$B$5," PAY ",TEXT(Input!$B$7,"DD/MM/YY"))</f>
        <v>VIC FN PAY 21/02/24</v>
      </c>
      <c r="S225" s="5">
        <f>'Journal - Main'!B225</f>
        <v>0</v>
      </c>
      <c r="W225" s="5" t="str">
        <f t="shared" si="8"/>
        <v xml:space="preserve"> </v>
      </c>
    </row>
    <row r="226" spans="1:24" x14ac:dyDescent="0.3">
      <c r="A226" s="3">
        <f t="shared" si="7"/>
        <v>225</v>
      </c>
      <c r="B226" s="4" t="s">
        <v>100</v>
      </c>
      <c r="C226" s="3">
        <f>IF(AND(ISNUMBER(MATCH('Journal - Main'!$E226,Lookups!$K$5:$K$16,0))=FALSE,OR(MID('Journal - Main'!N226,4,1)="C",MID('Journal - Main'!N226,4,1)="D")),LEFT('Journal - Main'!N226,2),Input!$B$6)</f>
        <v>20</v>
      </c>
      <c r="E226" s="32" t="s">
        <v>102</v>
      </c>
      <c r="H226" s="5" t="str">
        <f>IF(D226="",CONCATENATE(C226,'Journal - Main'!D226),"")</f>
        <v>20</v>
      </c>
      <c r="K226" s="12">
        <f>ROUND(_xlfn.NUMBERVALUE('Journal - Main'!G226),2)</f>
        <v>0</v>
      </c>
      <c r="L226" s="6"/>
      <c r="M226" s="6"/>
      <c r="N226" s="6"/>
      <c r="O226" s="6"/>
      <c r="P226" s="6"/>
      <c r="Q226" s="6"/>
      <c r="R226" s="5" t="str">
        <f>CONCATENATE(Input!$B$4," ",Input!$B$5," PAY ",TEXT(Input!$B$7,"DD/MM/YY"))</f>
        <v>VIC FN PAY 21/02/24</v>
      </c>
      <c r="S226" s="5">
        <f>'Journal - Main'!B226</f>
        <v>0</v>
      </c>
      <c r="W226" s="5" t="str">
        <f t="shared" si="8"/>
        <v xml:space="preserve"> </v>
      </c>
    </row>
    <row r="227" spans="1:24" x14ac:dyDescent="0.3">
      <c r="A227" s="3">
        <f t="shared" si="7"/>
        <v>226</v>
      </c>
      <c r="B227" s="4" t="s">
        <v>100</v>
      </c>
      <c r="C227" s="3">
        <f>IF(AND(ISNUMBER(MATCH('Journal - Main'!$E227,Lookups!$K$5:$K$16,0))=FALSE,OR(MID('Journal - Main'!N227,4,1)="C",MID('Journal - Main'!N227,4,1)="D")),LEFT('Journal - Main'!N227,2),Input!$B$6)</f>
        <v>20</v>
      </c>
      <c r="E227" s="32" t="s">
        <v>102</v>
      </c>
      <c r="H227" s="5" t="str">
        <f>IF(D227="",CONCATENATE(C227,'Journal - Main'!D227),"")</f>
        <v>20</v>
      </c>
      <c r="K227" s="12">
        <f>ROUND(_xlfn.NUMBERVALUE('Journal - Main'!G227),2)</f>
        <v>0</v>
      </c>
      <c r="L227" s="6"/>
      <c r="M227" s="6"/>
      <c r="N227" s="6"/>
      <c r="O227" s="6"/>
      <c r="P227" s="6"/>
      <c r="Q227" s="6"/>
      <c r="R227" s="5" t="str">
        <f>CONCATENATE(Input!$B$4," ",Input!$B$5," PAY ",TEXT(Input!$B$7,"DD/MM/YY"))</f>
        <v>VIC FN PAY 21/02/24</v>
      </c>
      <c r="S227" s="5">
        <f>'Journal - Main'!B227</f>
        <v>0</v>
      </c>
      <c r="W227" s="5" t="str">
        <f t="shared" si="8"/>
        <v xml:space="preserve"> </v>
      </c>
    </row>
    <row r="228" spans="1:24" x14ac:dyDescent="0.3">
      <c r="A228" s="3">
        <f t="shared" si="7"/>
        <v>227</v>
      </c>
      <c r="B228" s="4" t="s">
        <v>100</v>
      </c>
      <c r="C228" s="3">
        <f>IF(AND(ISNUMBER(MATCH('Journal - Main'!$E228,Lookups!$K$5:$K$16,0))=FALSE,OR(MID('Journal - Main'!N228,4,1)="C",MID('Journal - Main'!N228,4,1)="D")),LEFT('Journal - Main'!N228,2),Input!$B$6)</f>
        <v>20</v>
      </c>
      <c r="E228" s="32" t="s">
        <v>102</v>
      </c>
      <c r="H228" s="5" t="str">
        <f>IF(D228="",CONCATENATE(C228,'Journal - Main'!D228),"")</f>
        <v>20</v>
      </c>
      <c r="K228" s="12">
        <f>ROUND(_xlfn.NUMBERVALUE('Journal - Main'!G228),2)</f>
        <v>0</v>
      </c>
      <c r="L228" s="6"/>
      <c r="M228" s="6"/>
      <c r="N228" s="6"/>
      <c r="O228" s="6"/>
      <c r="P228" s="6"/>
      <c r="Q228" s="6"/>
      <c r="R228" s="5" t="str">
        <f>CONCATENATE(Input!$B$4," ",Input!$B$5," PAY ",TEXT(Input!$B$7,"DD/MM/YY"))</f>
        <v>VIC FN PAY 21/02/24</v>
      </c>
      <c r="S228" s="5">
        <f>'Journal - Main'!B228</f>
        <v>0</v>
      </c>
      <c r="W228" s="5" t="str">
        <f t="shared" si="8"/>
        <v xml:space="preserve"> </v>
      </c>
    </row>
    <row r="229" spans="1:24" x14ac:dyDescent="0.3">
      <c r="A229" s="3">
        <f t="shared" si="7"/>
        <v>228</v>
      </c>
      <c r="B229" s="4" t="s">
        <v>100</v>
      </c>
      <c r="C229" s="3">
        <f>IF(AND(ISNUMBER(MATCH('Journal - Main'!$E229,Lookups!$K$5:$K$16,0))=FALSE,OR(MID('Journal - Main'!N229,4,1)="C",MID('Journal - Main'!N229,4,1)="D")),LEFT('Journal - Main'!N229,2),Input!$B$6)</f>
        <v>20</v>
      </c>
      <c r="E229" s="32" t="s">
        <v>102</v>
      </c>
      <c r="H229" s="5" t="str">
        <f>IF(D229="",CONCATENATE(C229,'Journal - Main'!D229),"")</f>
        <v>20</v>
      </c>
      <c r="K229" s="12">
        <f>ROUND(_xlfn.NUMBERVALUE('Journal - Main'!G229),2)</f>
        <v>0</v>
      </c>
      <c r="L229" s="6"/>
      <c r="M229" s="6"/>
      <c r="N229" s="6"/>
      <c r="O229" s="6"/>
      <c r="P229" s="6"/>
      <c r="Q229" s="6"/>
      <c r="R229" s="5" t="str">
        <f>CONCATENATE(Input!$B$4," ",Input!$B$5," PAY ",TEXT(Input!$B$7,"DD/MM/YY"))</f>
        <v>VIC FN PAY 21/02/24</v>
      </c>
      <c r="S229" s="5">
        <f>'Journal - Main'!B229</f>
        <v>0</v>
      </c>
      <c r="W229" s="5" t="str">
        <f t="shared" si="8"/>
        <v xml:space="preserve"> </v>
      </c>
    </row>
    <row r="230" spans="1:24" x14ac:dyDescent="0.3">
      <c r="A230" s="3">
        <f t="shared" si="7"/>
        <v>229</v>
      </c>
      <c r="B230" s="4" t="s">
        <v>100</v>
      </c>
      <c r="C230" s="3">
        <f>IF(AND(ISNUMBER(MATCH('Journal - Main'!$E230,Lookups!$K$5:$K$16,0))=FALSE,OR(MID('Journal - Main'!N230,4,1)="C",MID('Journal - Main'!N230,4,1)="D")),LEFT('Journal - Main'!N230,2),Input!$B$6)</f>
        <v>20</v>
      </c>
      <c r="E230" s="32" t="s">
        <v>102</v>
      </c>
      <c r="H230" s="5" t="str">
        <f>IF(D230="",CONCATENATE(C230,'Journal - Main'!D230),"")</f>
        <v>20</v>
      </c>
      <c r="K230" s="12">
        <f>ROUND(_xlfn.NUMBERVALUE('Journal - Main'!G230),2)</f>
        <v>0</v>
      </c>
      <c r="L230" s="6"/>
      <c r="M230" s="6"/>
      <c r="N230" s="6"/>
      <c r="O230" s="6"/>
      <c r="P230" s="6"/>
      <c r="Q230" s="6"/>
      <c r="R230" s="5" t="str">
        <f>CONCATENATE(Input!$B$4," ",Input!$B$5," PAY ",TEXT(Input!$B$7,"DD/MM/YY"))</f>
        <v>VIC FN PAY 21/02/24</v>
      </c>
      <c r="S230" s="5">
        <f>'Journal - Main'!B230</f>
        <v>0</v>
      </c>
      <c r="W230" s="5" t="str">
        <f t="shared" si="8"/>
        <v xml:space="preserve"> </v>
      </c>
    </row>
    <row r="231" spans="1:24" x14ac:dyDescent="0.3">
      <c r="A231" s="3">
        <f t="shared" si="7"/>
        <v>230</v>
      </c>
      <c r="B231" s="4" t="s">
        <v>100</v>
      </c>
      <c r="C231" s="3">
        <f>IF(AND(ISNUMBER(MATCH('Journal - Main'!$E231,Lookups!$K$5:$K$16,0))=FALSE,OR(MID('Journal - Main'!N231,4,1)="C",MID('Journal - Main'!N231,4,1)="D")),LEFT('Journal - Main'!N231,2),Input!$B$6)</f>
        <v>20</v>
      </c>
      <c r="E231" s="32" t="s">
        <v>102</v>
      </c>
      <c r="H231" s="5" t="str">
        <f>IF(D231="",CONCATENATE(C231,'Journal - Main'!D231),"")</f>
        <v>20</v>
      </c>
      <c r="K231" s="12">
        <f>ROUND(_xlfn.NUMBERVALUE('Journal - Main'!G231),2)</f>
        <v>0</v>
      </c>
      <c r="L231" s="6"/>
      <c r="M231" s="6"/>
      <c r="N231" s="6"/>
      <c r="O231" s="6"/>
      <c r="P231" s="6"/>
      <c r="Q231" s="6"/>
      <c r="R231" s="5" t="str">
        <f>CONCATENATE(Input!$B$4," ",Input!$B$5," PAY ",TEXT(Input!$B$7,"DD/MM/YY"))</f>
        <v>VIC FN PAY 21/02/24</v>
      </c>
      <c r="S231" s="5">
        <f>'Journal - Main'!B231</f>
        <v>0</v>
      </c>
      <c r="W231" s="5" t="str">
        <f t="shared" si="8"/>
        <v xml:space="preserve"> </v>
      </c>
    </row>
    <row r="232" spans="1:24" x14ac:dyDescent="0.3">
      <c r="A232" s="3">
        <f t="shared" si="7"/>
        <v>231</v>
      </c>
      <c r="B232" s="4" t="s">
        <v>100</v>
      </c>
      <c r="C232" s="3">
        <f>IF(AND(ISNUMBER(MATCH('Journal - Main'!$E232,Lookups!$K$5:$K$16,0))=FALSE,OR(MID('Journal - Main'!N232,4,1)="C",MID('Journal - Main'!N232,4,1)="D")),LEFT('Journal - Main'!N232,2),Input!$B$6)</f>
        <v>20</v>
      </c>
      <c r="E232" s="32" t="s">
        <v>102</v>
      </c>
      <c r="H232" s="5" t="str">
        <f>IF(D232="",CONCATENATE(C232,'Journal - Main'!D232),"")</f>
        <v>20</v>
      </c>
      <c r="K232" s="12">
        <f>ROUND(_xlfn.NUMBERVALUE('Journal - Main'!G232),2)</f>
        <v>0</v>
      </c>
      <c r="L232" s="6"/>
      <c r="M232" s="6"/>
      <c r="N232" s="6"/>
      <c r="O232" s="6"/>
      <c r="P232" s="6"/>
      <c r="Q232" s="6"/>
      <c r="R232" s="5" t="str">
        <f>CONCATENATE(Input!$B$4," ",Input!$B$5," PAY ",TEXT(Input!$B$7,"DD/MM/YY"))</f>
        <v>VIC FN PAY 21/02/24</v>
      </c>
      <c r="S232" s="5">
        <f>'Journal - Main'!B232</f>
        <v>0</v>
      </c>
      <c r="W232" s="5" t="str">
        <f t="shared" si="8"/>
        <v xml:space="preserve"> </v>
      </c>
    </row>
    <row r="233" spans="1:24" x14ac:dyDescent="0.3">
      <c r="A233" s="3">
        <f t="shared" si="7"/>
        <v>232</v>
      </c>
      <c r="B233" s="4" t="s">
        <v>100</v>
      </c>
      <c r="C233" s="3">
        <f>IF(AND(ISNUMBER(MATCH('Journal - Main'!$E233,Lookups!$K$5:$K$16,0))=FALSE,OR(MID('Journal - Main'!N233,4,1)="C",MID('Journal - Main'!N233,4,1)="D")),LEFT('Journal - Main'!N233,2),Input!$B$6)</f>
        <v>20</v>
      </c>
      <c r="E233" s="32" t="s">
        <v>102</v>
      </c>
      <c r="H233" s="5" t="str">
        <f>IF(D233="",CONCATENATE(C233,'Journal - Main'!D233),"")</f>
        <v>20</v>
      </c>
      <c r="K233" s="12">
        <f>ROUND(_xlfn.NUMBERVALUE('Journal - Main'!G233),2)</f>
        <v>0</v>
      </c>
      <c r="L233" s="6"/>
      <c r="M233" s="6"/>
      <c r="N233" s="6"/>
      <c r="O233" s="6"/>
      <c r="P233" s="6"/>
      <c r="Q233" s="6"/>
      <c r="R233" s="5" t="str">
        <f>CONCATENATE(Input!$B$4," ",Input!$B$5," PAY ",TEXT(Input!$B$7,"DD/MM/YY"))</f>
        <v>VIC FN PAY 21/02/24</v>
      </c>
      <c r="S233" s="5">
        <f>'Journal - Main'!B233</f>
        <v>0</v>
      </c>
      <c r="W233" s="5" t="str">
        <f t="shared" si="8"/>
        <v xml:space="preserve"> </v>
      </c>
    </row>
    <row r="234" spans="1:24" x14ac:dyDescent="0.3">
      <c r="A234" s="3">
        <f t="shared" si="7"/>
        <v>233</v>
      </c>
      <c r="B234" s="4" t="s">
        <v>100</v>
      </c>
      <c r="C234" s="3">
        <f>IF(AND(ISNUMBER(MATCH('Journal - Main'!$E234,Lookups!$K$5:$K$16,0))=FALSE,OR(MID('Journal - Main'!N234,4,1)="C",MID('Journal - Main'!N234,4,1)="D")),LEFT('Journal - Main'!N234,2),Input!$B$6)</f>
        <v>20</v>
      </c>
      <c r="E234" s="32" t="s">
        <v>102</v>
      </c>
      <c r="H234" s="5" t="str">
        <f>IF(D234="",CONCATENATE(C234,'Journal - Main'!D234),"")</f>
        <v>20</v>
      </c>
      <c r="K234" s="12">
        <f>ROUND(_xlfn.NUMBERVALUE('Journal - Main'!G234),2)</f>
        <v>0</v>
      </c>
      <c r="L234" s="6"/>
      <c r="M234" s="6"/>
      <c r="N234" s="6"/>
      <c r="O234" s="6"/>
      <c r="P234" s="6"/>
      <c r="Q234" s="6"/>
      <c r="R234" s="5" t="str">
        <f>CONCATENATE(Input!$B$4," ",Input!$B$5," PAY ",TEXT(Input!$B$7,"DD/MM/YY"))</f>
        <v>VIC FN PAY 21/02/24</v>
      </c>
      <c r="S234" s="5">
        <f>'Journal - Main'!B234</f>
        <v>0</v>
      </c>
      <c r="W234" s="5" t="str">
        <f t="shared" si="8"/>
        <v xml:space="preserve"> </v>
      </c>
    </row>
    <row r="235" spans="1:24" x14ac:dyDescent="0.3">
      <c r="A235" s="3">
        <f t="shared" si="7"/>
        <v>234</v>
      </c>
      <c r="B235" s="4" t="s">
        <v>100</v>
      </c>
      <c r="C235" s="3">
        <f>IF(AND(ISNUMBER(MATCH('Journal - Main'!$E235,Lookups!$K$5:$K$16,0))=FALSE,OR(MID('Journal - Main'!N235,4,1)="C",MID('Journal - Main'!N235,4,1)="D")),LEFT('Journal - Main'!N235,2),Input!$B$6)</f>
        <v>20</v>
      </c>
      <c r="E235" s="32" t="s">
        <v>102</v>
      </c>
      <c r="H235" s="5" t="str">
        <f>IF(D235="",CONCATENATE(C235,'Journal - Main'!D235),"")</f>
        <v>20</v>
      </c>
      <c r="K235" s="12">
        <f>ROUND(_xlfn.NUMBERVALUE('Journal - Main'!G235),2)</f>
        <v>0</v>
      </c>
      <c r="L235" s="6"/>
      <c r="M235" s="6"/>
      <c r="N235" s="6"/>
      <c r="O235" s="6"/>
      <c r="P235" s="6"/>
      <c r="Q235" s="6"/>
      <c r="R235" s="5" t="str">
        <f>CONCATENATE(Input!$B$4," ",Input!$B$5," PAY ",TEXT(Input!$B$7,"DD/MM/YY"))</f>
        <v>VIC FN PAY 21/02/24</v>
      </c>
      <c r="S235" s="5">
        <f>'Journal - Main'!B235</f>
        <v>0</v>
      </c>
      <c r="W235" s="5" t="str">
        <f t="shared" si="8"/>
        <v xml:space="preserve"> </v>
      </c>
    </row>
    <row r="236" spans="1:24" x14ac:dyDescent="0.3">
      <c r="A236" s="3">
        <f t="shared" si="7"/>
        <v>235</v>
      </c>
      <c r="B236" s="4" t="s">
        <v>100</v>
      </c>
      <c r="C236" s="3">
        <f>IF(AND(ISNUMBER(MATCH('Journal - Main'!$E236,Lookups!$K$5:$K$16,0))=FALSE,OR(MID('Journal - Main'!N236,4,1)="C",MID('Journal - Main'!N236,4,1)="D")),LEFT('Journal - Main'!N236,2),Input!$B$6)</f>
        <v>20</v>
      </c>
      <c r="E236" s="32" t="s">
        <v>102</v>
      </c>
      <c r="H236" s="5" t="str">
        <f>IF(D236="",CONCATENATE(C236,'Journal - Main'!D236),"")</f>
        <v>20</v>
      </c>
      <c r="K236" s="12">
        <f>ROUND(_xlfn.NUMBERVALUE('Journal - Main'!G236),2)</f>
        <v>0</v>
      </c>
      <c r="L236" s="6"/>
      <c r="M236" s="6"/>
      <c r="N236" s="6"/>
      <c r="O236" s="6"/>
      <c r="P236" s="6"/>
      <c r="Q236" s="6"/>
      <c r="R236" s="5" t="str">
        <f>CONCATENATE(Input!$B$4," ",Input!$B$5," PAY ",TEXT(Input!$B$7,"DD/MM/YY"))</f>
        <v>VIC FN PAY 21/02/24</v>
      </c>
      <c r="S236" s="5">
        <f>'Journal - Main'!B236</f>
        <v>0</v>
      </c>
      <c r="W236" s="5" t="str">
        <f t="shared" si="8"/>
        <v xml:space="preserve"> </v>
      </c>
    </row>
    <row r="237" spans="1:24" x14ac:dyDescent="0.3">
      <c r="A237" s="3">
        <f t="shared" si="7"/>
        <v>236</v>
      </c>
      <c r="B237" s="4" t="s">
        <v>100</v>
      </c>
      <c r="C237" s="3">
        <f>IF(AND(ISNUMBER(MATCH('Journal - Main'!$E237,Lookups!$K$5:$K$16,0))=FALSE,OR(MID('Journal - Main'!N237,4,1)="C",MID('Journal - Main'!N237,4,1)="D")),LEFT('Journal - Main'!N237,2),Input!$B$6)</f>
        <v>20</v>
      </c>
      <c r="E237" s="32" t="s">
        <v>102</v>
      </c>
      <c r="H237" s="5" t="str">
        <f>IF(D237="",CONCATENATE(C237,'Journal - Main'!D237),"")</f>
        <v>20</v>
      </c>
      <c r="K237" s="12">
        <f>ROUND(_xlfn.NUMBERVALUE('Journal - Main'!G237),2)</f>
        <v>0</v>
      </c>
      <c r="L237" s="6"/>
      <c r="M237" s="6"/>
      <c r="N237" s="6"/>
      <c r="O237" s="6"/>
      <c r="P237" s="6"/>
      <c r="Q237" s="6"/>
      <c r="R237" s="5" t="str">
        <f>CONCATENATE(Input!$B$4," ",Input!$B$5," PAY ",TEXT(Input!$B$7,"DD/MM/YY"))</f>
        <v>VIC FN PAY 21/02/24</v>
      </c>
      <c r="S237" s="5">
        <f>'Journal - Main'!B237</f>
        <v>0</v>
      </c>
      <c r="W237" s="5" t="str">
        <f t="shared" si="8"/>
        <v xml:space="preserve"> </v>
      </c>
    </row>
    <row r="238" spans="1:24" s="16" customFormat="1" x14ac:dyDescent="0.3">
      <c r="A238" s="3">
        <f t="shared" ref="A238:A259" si="9">+A237+1</f>
        <v>237</v>
      </c>
      <c r="B238" s="4" t="s">
        <v>100</v>
      </c>
      <c r="C238" s="3">
        <f>IF(AND(ISNUMBER(MATCH('Journal - Main'!$E238,Lookups!$K$5:$K$16,0))=FALSE,OR(MID('Journal - Main'!N238,4,1)="C",MID('Journal - Main'!N238,4,1)="D")),LEFT('Journal - Main'!N238,2),Input!$B$6)</f>
        <v>20</v>
      </c>
      <c r="D238" s="5"/>
      <c r="E238" s="32" t="s">
        <v>102</v>
      </c>
      <c r="F238" s="5"/>
      <c r="G238" s="5"/>
      <c r="H238" s="5" t="str">
        <f>IF(D238="",CONCATENATE(C238,'Journal - Main'!D238),"")</f>
        <v>20</v>
      </c>
      <c r="I238" s="5"/>
      <c r="J238" s="5"/>
      <c r="K238" s="12">
        <f>ROUND(_xlfn.NUMBERVALUE('Journal - Main'!G238),2)</f>
        <v>0</v>
      </c>
      <c r="L238" s="6"/>
      <c r="M238" s="6"/>
      <c r="N238" s="6"/>
      <c r="O238" s="6"/>
      <c r="P238" s="6"/>
      <c r="Q238" s="6"/>
      <c r="R238" s="5" t="str">
        <f>CONCATENATE(Input!$B$4," ",Input!$B$5," PAY ",TEXT(Input!$B$7,"DD/MM/YY"))</f>
        <v>VIC FN PAY 21/02/24</v>
      </c>
      <c r="S238" s="5">
        <f>'Journal - Main'!B238</f>
        <v>0</v>
      </c>
      <c r="T238" s="5"/>
      <c r="U238" s="5"/>
      <c r="V238" s="5"/>
      <c r="W238" s="5" t="str">
        <f t="shared" ref="W238:W268" si="10">B238</f>
        <v xml:space="preserve"> </v>
      </c>
      <c r="X238" s="30"/>
    </row>
    <row r="239" spans="1:24" x14ac:dyDescent="0.3">
      <c r="A239" s="3">
        <f t="shared" si="9"/>
        <v>238</v>
      </c>
      <c r="B239" s="4" t="s">
        <v>100</v>
      </c>
      <c r="C239" s="3">
        <f>IF(AND(ISNUMBER(MATCH('Journal - Main'!$E239,Lookups!$K$5:$K$16,0))=FALSE,OR(MID('Journal - Main'!N239,4,1)="C",MID('Journal - Main'!N239,4,1)="D")),LEFT('Journal - Main'!N239,2),Input!$B$6)</f>
        <v>20</v>
      </c>
      <c r="E239" s="32" t="s">
        <v>102</v>
      </c>
      <c r="H239" s="5" t="str">
        <f>IF(D239="",CONCATENATE(C239,'Journal - Main'!D239),"")</f>
        <v>20</v>
      </c>
      <c r="K239" s="12">
        <f>ROUND(_xlfn.NUMBERVALUE('Journal - Main'!G239),2)</f>
        <v>0</v>
      </c>
      <c r="L239" s="6"/>
      <c r="M239" s="6"/>
      <c r="N239" s="6"/>
      <c r="O239" s="6"/>
      <c r="P239" s="6"/>
      <c r="Q239" s="6"/>
      <c r="R239" s="5" t="str">
        <f>CONCATENATE(Input!$B$4," ",Input!$B$5," PAY ",TEXT(Input!$B$7,"DD/MM/YY"))</f>
        <v>VIC FN PAY 21/02/24</v>
      </c>
      <c r="S239" s="5">
        <f>'Journal - Main'!B239</f>
        <v>0</v>
      </c>
      <c r="W239" s="5" t="str">
        <f t="shared" si="10"/>
        <v xml:space="preserve"> </v>
      </c>
    </row>
    <row r="240" spans="1:24" x14ac:dyDescent="0.3">
      <c r="A240" s="3">
        <f t="shared" si="9"/>
        <v>239</v>
      </c>
      <c r="B240" s="4" t="s">
        <v>100</v>
      </c>
      <c r="C240" s="3">
        <f>IF(AND(ISNUMBER(MATCH('Journal - Main'!$E240,Lookups!$K$5:$K$16,0))=FALSE,OR(MID('Journal - Main'!N240,4,1)="C",MID('Journal - Main'!N240,4,1)="D")),LEFT('Journal - Main'!N240,2),Input!$B$6)</f>
        <v>20</v>
      </c>
      <c r="E240" s="32" t="s">
        <v>102</v>
      </c>
      <c r="H240" s="5" t="str">
        <f>IF(D240="",CONCATENATE(C240,'Journal - Main'!D240),"")</f>
        <v>20</v>
      </c>
      <c r="K240" s="12">
        <f>ROUND(_xlfn.NUMBERVALUE('Journal - Main'!G240),2)</f>
        <v>0</v>
      </c>
      <c r="L240" s="6"/>
      <c r="M240" s="6"/>
      <c r="N240" s="6"/>
      <c r="O240" s="6"/>
      <c r="P240" s="6"/>
      <c r="Q240" s="6"/>
      <c r="R240" s="5" t="str">
        <f>CONCATENATE(Input!$B$4," ",Input!$B$5," PAY ",TEXT(Input!$B$7,"DD/MM/YY"))</f>
        <v>VIC FN PAY 21/02/24</v>
      </c>
      <c r="S240" s="5">
        <f>'Journal - Main'!B240</f>
        <v>0</v>
      </c>
      <c r="W240" s="5" t="str">
        <f t="shared" si="10"/>
        <v xml:space="preserve"> </v>
      </c>
    </row>
    <row r="241" spans="1:24" x14ac:dyDescent="0.3">
      <c r="A241" s="3">
        <f t="shared" si="9"/>
        <v>240</v>
      </c>
      <c r="B241" s="4" t="s">
        <v>100</v>
      </c>
      <c r="C241" s="3">
        <f>IF(AND(ISNUMBER(MATCH('Journal - Main'!$E241,Lookups!$K$5:$K$16,0))=FALSE,OR(MID('Journal - Main'!N241,4,1)="C",MID('Journal - Main'!N241,4,1)="D")),LEFT('Journal - Main'!N241,2),Input!$B$6)</f>
        <v>20</v>
      </c>
      <c r="E241" s="32" t="s">
        <v>102</v>
      </c>
      <c r="H241" s="5" t="str">
        <f>IF(D241="",CONCATENATE(C241,'Journal - Main'!D241),"")</f>
        <v>20</v>
      </c>
      <c r="K241" s="12">
        <f>ROUND(_xlfn.NUMBERVALUE('Journal - Main'!G241),2)</f>
        <v>0</v>
      </c>
      <c r="L241" s="6"/>
      <c r="M241" s="6"/>
      <c r="N241" s="6"/>
      <c r="O241" s="6"/>
      <c r="P241" s="6"/>
      <c r="Q241" s="6"/>
      <c r="R241" s="5" t="str">
        <f>CONCATENATE(Input!$B$4," ",Input!$B$5," PAY ",TEXT(Input!$B$7,"DD/MM/YY"))</f>
        <v>VIC FN PAY 21/02/24</v>
      </c>
      <c r="S241" s="5">
        <f>'Journal - Main'!B241</f>
        <v>0</v>
      </c>
      <c r="W241" s="5" t="str">
        <f t="shared" si="10"/>
        <v xml:space="preserve"> </v>
      </c>
    </row>
    <row r="242" spans="1:24" x14ac:dyDescent="0.3">
      <c r="A242" s="3">
        <f t="shared" si="9"/>
        <v>241</v>
      </c>
      <c r="B242" s="4" t="s">
        <v>100</v>
      </c>
      <c r="C242" s="3">
        <f>IF(AND(ISNUMBER(MATCH('Journal - Main'!$E242,Lookups!$K$5:$K$16,0))=FALSE,OR(MID('Journal - Main'!N242,4,1)="C",MID('Journal - Main'!N242,4,1)="D")),LEFT('Journal - Main'!N242,2),Input!$B$6)</f>
        <v>20</v>
      </c>
      <c r="E242" s="32" t="s">
        <v>102</v>
      </c>
      <c r="H242" s="5" t="str">
        <f>IF(D242="",CONCATENATE(C242,'Journal - Main'!D242),"")</f>
        <v>20</v>
      </c>
      <c r="K242" s="12">
        <f>ROUND(_xlfn.NUMBERVALUE('Journal - Main'!G242),2)</f>
        <v>0</v>
      </c>
      <c r="L242" s="6"/>
      <c r="M242" s="6"/>
      <c r="N242" s="6"/>
      <c r="O242" s="6"/>
      <c r="P242" s="6"/>
      <c r="Q242" s="6"/>
      <c r="R242" s="5" t="str">
        <f>CONCATENATE(Input!$B$4," ",Input!$B$5," PAY ",TEXT(Input!$B$7,"DD/MM/YY"))</f>
        <v>VIC FN PAY 21/02/24</v>
      </c>
      <c r="S242" s="5">
        <f>'Journal - Main'!B242</f>
        <v>0</v>
      </c>
      <c r="W242" s="5" t="str">
        <f t="shared" si="10"/>
        <v xml:space="preserve"> </v>
      </c>
    </row>
    <row r="243" spans="1:24" x14ac:dyDescent="0.3">
      <c r="A243" s="3">
        <f t="shared" si="9"/>
        <v>242</v>
      </c>
      <c r="B243" s="4" t="s">
        <v>100</v>
      </c>
      <c r="C243" s="3">
        <f>IF(AND(ISNUMBER(MATCH('Journal - Main'!$E243,Lookups!$K$5:$K$16,0))=FALSE,OR(MID('Journal - Main'!N243,4,1)="C",MID('Journal - Main'!N243,4,1)="D")),LEFT('Journal - Main'!N243,2),Input!$B$6)</f>
        <v>20</v>
      </c>
      <c r="E243" s="32" t="s">
        <v>102</v>
      </c>
      <c r="H243" s="5" t="str">
        <f>IF(D243="",CONCATENATE(C243,'Journal - Main'!D243),"")</f>
        <v>20</v>
      </c>
      <c r="K243" s="12">
        <f>ROUND(_xlfn.NUMBERVALUE('Journal - Main'!G243),2)</f>
        <v>0</v>
      </c>
      <c r="L243" s="6"/>
      <c r="M243" s="6"/>
      <c r="N243" s="6"/>
      <c r="O243" s="6"/>
      <c r="P243" s="6"/>
      <c r="Q243" s="6"/>
      <c r="R243" s="5" t="str">
        <f>CONCATENATE(Input!$B$4," ",Input!$B$5," PAY ",TEXT(Input!$B$7,"DD/MM/YY"))</f>
        <v>VIC FN PAY 21/02/24</v>
      </c>
      <c r="S243" s="5">
        <f>'Journal - Main'!B243</f>
        <v>0</v>
      </c>
      <c r="W243" s="5" t="str">
        <f t="shared" si="10"/>
        <v xml:space="preserve"> </v>
      </c>
    </row>
    <row r="244" spans="1:24" s="16" customFormat="1" x14ac:dyDescent="0.3">
      <c r="A244" s="3">
        <f t="shared" si="9"/>
        <v>243</v>
      </c>
      <c r="B244" s="4" t="s">
        <v>100</v>
      </c>
      <c r="C244" s="3">
        <f>IF(AND(ISNUMBER(MATCH('Journal - Main'!$E244,Lookups!$K$5:$K$16,0))=FALSE,OR(MID('Journal - Main'!N244,4,1)="C",MID('Journal - Main'!N244,4,1)="D")),LEFT('Journal - Main'!N244,2),Input!$B$6)</f>
        <v>20</v>
      </c>
      <c r="D244" s="5"/>
      <c r="E244" s="32" t="s">
        <v>102</v>
      </c>
      <c r="F244" s="5"/>
      <c r="G244" s="5"/>
      <c r="H244" s="5" t="str">
        <f>IF(D244="",CONCATENATE(C244,'Journal - Main'!D244),"")</f>
        <v>20</v>
      </c>
      <c r="I244" s="5"/>
      <c r="J244" s="5"/>
      <c r="K244" s="12">
        <f>ROUND(_xlfn.NUMBERVALUE('Journal - Main'!G244),2)</f>
        <v>0</v>
      </c>
      <c r="L244" s="6"/>
      <c r="M244" s="6"/>
      <c r="N244" s="6"/>
      <c r="O244" s="6"/>
      <c r="P244" s="6"/>
      <c r="Q244" s="6"/>
      <c r="R244" s="5" t="str">
        <f>CONCATENATE(Input!$B$4," ",Input!$B$5," PAY ",TEXT(Input!$B$7,"DD/MM/YY"))</f>
        <v>VIC FN PAY 21/02/24</v>
      </c>
      <c r="S244" s="5">
        <f>'Journal - Main'!B244</f>
        <v>0</v>
      </c>
      <c r="T244" s="5"/>
      <c r="U244" s="5"/>
      <c r="V244" s="5"/>
      <c r="W244" s="5" t="str">
        <f t="shared" si="10"/>
        <v xml:space="preserve"> </v>
      </c>
      <c r="X244" s="30"/>
    </row>
    <row r="245" spans="1:24" x14ac:dyDescent="0.3">
      <c r="A245" s="3">
        <f t="shared" si="9"/>
        <v>244</v>
      </c>
      <c r="B245" s="4" t="s">
        <v>100</v>
      </c>
      <c r="C245" s="3">
        <f>IF(AND(ISNUMBER(MATCH('Journal - Main'!$E245,Lookups!$K$5:$K$16,0))=FALSE,OR(MID('Journal - Main'!N245,4,1)="C",MID('Journal - Main'!N245,4,1)="D")),LEFT('Journal - Main'!N245,2),Input!$B$6)</f>
        <v>20</v>
      </c>
      <c r="E245" s="32" t="s">
        <v>102</v>
      </c>
      <c r="H245" s="5" t="str">
        <f>IF(D245="",CONCATENATE(C245,'Journal - Main'!D245),"")</f>
        <v>20</v>
      </c>
      <c r="K245" s="12">
        <f>ROUND(_xlfn.NUMBERVALUE('Journal - Main'!G245),2)</f>
        <v>0</v>
      </c>
      <c r="L245" s="6"/>
      <c r="M245" s="6"/>
      <c r="N245" s="6"/>
      <c r="O245" s="6"/>
      <c r="P245" s="6"/>
      <c r="Q245" s="6"/>
      <c r="R245" s="5" t="str">
        <f>CONCATENATE(Input!$B$4," ",Input!$B$5," PAY ",TEXT(Input!$B$7,"DD/MM/YY"))</f>
        <v>VIC FN PAY 21/02/24</v>
      </c>
      <c r="S245" s="5">
        <f>'Journal - Main'!B245</f>
        <v>0</v>
      </c>
      <c r="W245" s="5" t="str">
        <f t="shared" si="10"/>
        <v xml:space="preserve"> </v>
      </c>
    </row>
    <row r="246" spans="1:24" x14ac:dyDescent="0.3">
      <c r="A246" s="3">
        <f t="shared" si="9"/>
        <v>245</v>
      </c>
      <c r="B246" s="4" t="s">
        <v>100</v>
      </c>
      <c r="C246" s="3">
        <f>IF(AND(ISNUMBER(MATCH('Journal - Main'!$E246,Lookups!$K$5:$K$16,0))=FALSE,OR(MID('Journal - Main'!N246,4,1)="C",MID('Journal - Main'!N246,4,1)="D")),LEFT('Journal - Main'!N246,2),Input!$B$6)</f>
        <v>20</v>
      </c>
      <c r="E246" s="32" t="s">
        <v>102</v>
      </c>
      <c r="H246" s="5" t="str">
        <f>IF(D246="",CONCATENATE(C246,'Journal - Main'!D246),"")</f>
        <v>20</v>
      </c>
      <c r="K246" s="12">
        <f>ROUND(_xlfn.NUMBERVALUE('Journal - Main'!G246),2)</f>
        <v>0</v>
      </c>
      <c r="L246" s="6"/>
      <c r="M246" s="6"/>
      <c r="N246" s="6"/>
      <c r="O246" s="6"/>
      <c r="P246" s="6"/>
      <c r="Q246" s="6"/>
      <c r="R246" s="5" t="str">
        <f>CONCATENATE(Input!$B$4," ",Input!$B$5," PAY ",TEXT(Input!$B$7,"DD/MM/YY"))</f>
        <v>VIC FN PAY 21/02/24</v>
      </c>
      <c r="S246" s="5">
        <f>'Journal - Main'!B246</f>
        <v>0</v>
      </c>
      <c r="W246" s="5" t="str">
        <f t="shared" si="10"/>
        <v xml:space="preserve"> </v>
      </c>
    </row>
    <row r="247" spans="1:24" x14ac:dyDescent="0.3">
      <c r="A247" s="3">
        <f t="shared" si="9"/>
        <v>246</v>
      </c>
      <c r="B247" s="4" t="s">
        <v>100</v>
      </c>
      <c r="C247" s="3">
        <f>IF(AND(ISNUMBER(MATCH('Journal - Main'!$E247,Lookups!$K$5:$K$16,0))=FALSE,OR(MID('Journal - Main'!N247,4,1)="C",MID('Journal - Main'!N247,4,1)="D")),LEFT('Journal - Main'!N247,2),Input!$B$6)</f>
        <v>20</v>
      </c>
      <c r="E247" s="32" t="s">
        <v>102</v>
      </c>
      <c r="H247" s="5" t="str">
        <f>IF(D247="",CONCATENATE(C247,'Journal - Main'!D247),"")</f>
        <v>20</v>
      </c>
      <c r="K247" s="12">
        <f>ROUND(_xlfn.NUMBERVALUE('Journal - Main'!G247),2)</f>
        <v>0</v>
      </c>
      <c r="L247" s="6"/>
      <c r="M247" s="6"/>
      <c r="N247" s="6"/>
      <c r="O247" s="6"/>
      <c r="P247" s="6"/>
      <c r="Q247" s="6"/>
      <c r="R247" s="5" t="str">
        <f>CONCATENATE(Input!$B$4," ",Input!$B$5," PAY ",TEXT(Input!$B$7,"DD/MM/YY"))</f>
        <v>VIC FN PAY 21/02/24</v>
      </c>
      <c r="S247" s="5">
        <f>'Journal - Main'!B247</f>
        <v>0</v>
      </c>
      <c r="W247" s="5" t="str">
        <f t="shared" si="10"/>
        <v xml:space="preserve"> </v>
      </c>
    </row>
    <row r="248" spans="1:24" x14ac:dyDescent="0.3">
      <c r="A248" s="3">
        <f t="shared" si="9"/>
        <v>247</v>
      </c>
      <c r="B248" s="4" t="s">
        <v>100</v>
      </c>
      <c r="C248" s="3">
        <f>IF(AND(ISNUMBER(MATCH('Journal - Main'!$E248,Lookups!$K$5:$K$16,0))=FALSE,OR(MID('Journal - Main'!N248,4,1)="C",MID('Journal - Main'!N248,4,1)="D")),LEFT('Journal - Main'!N248,2),Input!$B$6)</f>
        <v>20</v>
      </c>
      <c r="E248" s="32" t="s">
        <v>102</v>
      </c>
      <c r="H248" s="5" t="str">
        <f>IF(D248="",CONCATENATE(C248,'Journal - Main'!D248),"")</f>
        <v>20</v>
      </c>
      <c r="K248" s="12">
        <f>ROUND(_xlfn.NUMBERVALUE('Journal - Main'!G248),2)</f>
        <v>0</v>
      </c>
      <c r="L248" s="6"/>
      <c r="M248" s="6"/>
      <c r="N248" s="6"/>
      <c r="O248" s="6"/>
      <c r="P248" s="6"/>
      <c r="Q248" s="6"/>
      <c r="R248" s="5" t="str">
        <f>CONCATENATE(Input!$B$4," ",Input!$B$5," PAY ",TEXT(Input!$B$7,"DD/MM/YY"))</f>
        <v>VIC FN PAY 21/02/24</v>
      </c>
      <c r="S248" s="5">
        <f>'Journal - Main'!B248</f>
        <v>0</v>
      </c>
      <c r="W248" s="5" t="str">
        <f t="shared" si="10"/>
        <v xml:space="preserve"> </v>
      </c>
    </row>
    <row r="249" spans="1:24" x14ac:dyDescent="0.3">
      <c r="A249" s="3">
        <f t="shared" si="9"/>
        <v>248</v>
      </c>
      <c r="B249" s="4" t="s">
        <v>100</v>
      </c>
      <c r="C249" s="3">
        <f>IF(AND(ISNUMBER(MATCH('Journal - Main'!$E249,Lookups!$K$5:$K$16,0))=FALSE,OR(MID('Journal - Main'!N249,4,1)="C",MID('Journal - Main'!N249,4,1)="D")),LEFT('Journal - Main'!N249,2),Input!$B$6)</f>
        <v>20</v>
      </c>
      <c r="E249" s="32" t="s">
        <v>102</v>
      </c>
      <c r="H249" s="5" t="str">
        <f>IF(D249="",CONCATENATE(C249,'Journal - Main'!D249),"")</f>
        <v>20</v>
      </c>
      <c r="K249" s="12">
        <f>ROUND(_xlfn.NUMBERVALUE('Journal - Main'!G249),2)</f>
        <v>0</v>
      </c>
      <c r="L249" s="6"/>
      <c r="M249" s="6"/>
      <c r="N249" s="6"/>
      <c r="O249" s="6"/>
      <c r="P249" s="6"/>
      <c r="Q249" s="6"/>
      <c r="R249" s="5" t="str">
        <f>CONCATENATE(Input!$B$4," ",Input!$B$5," PAY ",TEXT(Input!$B$7,"DD/MM/YY"))</f>
        <v>VIC FN PAY 21/02/24</v>
      </c>
      <c r="S249" s="5">
        <f>'Journal - Main'!B249</f>
        <v>0</v>
      </c>
      <c r="W249" s="5" t="str">
        <f t="shared" si="10"/>
        <v xml:space="preserve"> </v>
      </c>
    </row>
    <row r="250" spans="1:24" s="16" customFormat="1" x14ac:dyDescent="0.3">
      <c r="A250" s="3">
        <f t="shared" si="9"/>
        <v>249</v>
      </c>
      <c r="B250" s="4" t="s">
        <v>100</v>
      </c>
      <c r="C250" s="3">
        <f>IF(AND(ISNUMBER(MATCH('Journal - Main'!$E250,Lookups!$K$5:$K$16,0))=FALSE,OR(MID('Journal - Main'!N250,4,1)="C",MID('Journal - Main'!N250,4,1)="D")),LEFT('Journal - Main'!N250,2),Input!$B$6)</f>
        <v>20</v>
      </c>
      <c r="D250" s="5"/>
      <c r="E250" s="32" t="s">
        <v>102</v>
      </c>
      <c r="F250" s="5"/>
      <c r="G250" s="5"/>
      <c r="H250" s="5" t="str">
        <f>IF(D250="",CONCATENATE(C250,'Journal - Main'!D250),"")</f>
        <v>20</v>
      </c>
      <c r="I250" s="5"/>
      <c r="J250" s="5"/>
      <c r="K250" s="12">
        <f>ROUND(_xlfn.NUMBERVALUE('Journal - Main'!G250),2)</f>
        <v>0</v>
      </c>
      <c r="L250" s="6"/>
      <c r="M250" s="6"/>
      <c r="N250" s="6"/>
      <c r="O250" s="6"/>
      <c r="P250" s="6"/>
      <c r="Q250" s="6"/>
      <c r="R250" s="5" t="str">
        <f>CONCATENATE(Input!$B$4," ",Input!$B$5," PAY ",TEXT(Input!$B$7,"DD/MM/YY"))</f>
        <v>VIC FN PAY 21/02/24</v>
      </c>
      <c r="S250" s="5">
        <f>'Journal - Main'!B250</f>
        <v>0</v>
      </c>
      <c r="T250" s="5"/>
      <c r="U250" s="5"/>
      <c r="V250" s="5"/>
      <c r="W250" s="5" t="str">
        <f t="shared" si="10"/>
        <v xml:space="preserve"> </v>
      </c>
      <c r="X250" s="30"/>
    </row>
    <row r="251" spans="1:24" x14ac:dyDescent="0.3">
      <c r="A251" s="3">
        <f t="shared" si="9"/>
        <v>250</v>
      </c>
      <c r="B251" s="4" t="s">
        <v>100</v>
      </c>
      <c r="C251" s="3">
        <f>IF(AND(ISNUMBER(MATCH('Journal - Main'!$E251,Lookups!$K$5:$K$16,0))=FALSE,OR(MID('Journal - Main'!N251,4,1)="C",MID('Journal - Main'!N251,4,1)="D")),LEFT('Journal - Main'!N251,2),Input!$B$6)</f>
        <v>20</v>
      </c>
      <c r="E251" s="32" t="s">
        <v>102</v>
      </c>
      <c r="H251" s="5" t="str">
        <f>IF(D251="",CONCATENATE(C251,'Journal - Main'!D251),"")</f>
        <v>20</v>
      </c>
      <c r="K251" s="12">
        <f>ROUND(_xlfn.NUMBERVALUE('Journal - Main'!G251),2)</f>
        <v>0</v>
      </c>
      <c r="L251" s="6"/>
      <c r="M251" s="6"/>
      <c r="N251" s="6"/>
      <c r="O251" s="6"/>
      <c r="P251" s="6"/>
      <c r="Q251" s="6"/>
      <c r="R251" s="5" t="str">
        <f>CONCATENATE(Input!$B$4," ",Input!$B$5," PAY ",TEXT(Input!$B$7,"DD/MM/YY"))</f>
        <v>VIC FN PAY 21/02/24</v>
      </c>
      <c r="S251" s="5">
        <f>'Journal - Main'!B251</f>
        <v>0</v>
      </c>
      <c r="W251" s="5" t="str">
        <f t="shared" si="10"/>
        <v xml:space="preserve"> </v>
      </c>
    </row>
    <row r="252" spans="1:24" x14ac:dyDescent="0.3">
      <c r="A252" s="3">
        <f t="shared" si="9"/>
        <v>251</v>
      </c>
      <c r="B252" s="4" t="s">
        <v>100</v>
      </c>
      <c r="C252" s="3">
        <f>IF(AND(ISNUMBER(MATCH('Journal - Main'!$E252,Lookups!$K$5:$K$16,0))=FALSE,OR(MID('Journal - Main'!N252,4,1)="C",MID('Journal - Main'!N252,4,1)="D")),LEFT('Journal - Main'!N252,2),Input!$B$6)</f>
        <v>20</v>
      </c>
      <c r="E252" s="32" t="s">
        <v>102</v>
      </c>
      <c r="H252" s="5" t="str">
        <f>IF(D252="",CONCATENATE(C252,'Journal - Main'!D252),"")</f>
        <v>20</v>
      </c>
      <c r="K252" s="12">
        <f>ROUND(_xlfn.NUMBERVALUE('Journal - Main'!G252),2)</f>
        <v>0</v>
      </c>
      <c r="L252" s="6"/>
      <c r="M252" s="6"/>
      <c r="N252" s="6"/>
      <c r="O252" s="6"/>
      <c r="P252" s="6"/>
      <c r="Q252" s="6"/>
      <c r="R252" s="5" t="str">
        <f>CONCATENATE(Input!$B$4," ",Input!$B$5," PAY ",TEXT(Input!$B$7,"DD/MM/YY"))</f>
        <v>VIC FN PAY 21/02/24</v>
      </c>
      <c r="S252" s="5">
        <f>'Journal - Main'!B252</f>
        <v>0</v>
      </c>
      <c r="W252" s="5" t="str">
        <f t="shared" si="10"/>
        <v xml:space="preserve"> </v>
      </c>
    </row>
    <row r="253" spans="1:24" x14ac:dyDescent="0.3">
      <c r="A253" s="3">
        <f t="shared" si="9"/>
        <v>252</v>
      </c>
      <c r="B253" s="4" t="s">
        <v>100</v>
      </c>
      <c r="C253" s="3">
        <f>IF(AND(ISNUMBER(MATCH('Journal - Main'!$E253,Lookups!$K$5:$K$16,0))=FALSE,OR(MID('Journal - Main'!N253,4,1)="C",MID('Journal - Main'!N253,4,1)="D")),LEFT('Journal - Main'!N253,2),Input!$B$6)</f>
        <v>20</v>
      </c>
      <c r="E253" s="32" t="s">
        <v>102</v>
      </c>
      <c r="H253" s="5" t="str">
        <f>IF(D253="",CONCATENATE(C253,'Journal - Main'!D253),"")</f>
        <v>20</v>
      </c>
      <c r="K253" s="12">
        <f>ROUND(_xlfn.NUMBERVALUE('Journal - Main'!G253),2)</f>
        <v>0</v>
      </c>
      <c r="L253" s="6"/>
      <c r="M253" s="6"/>
      <c r="N253" s="6"/>
      <c r="O253" s="6"/>
      <c r="P253" s="6"/>
      <c r="Q253" s="6"/>
      <c r="R253" s="5" t="str">
        <f>CONCATENATE(Input!$B$4," ",Input!$B$5," PAY ",TEXT(Input!$B$7,"DD/MM/YY"))</f>
        <v>VIC FN PAY 21/02/24</v>
      </c>
      <c r="S253" s="5">
        <f>'Journal - Main'!B253</f>
        <v>0</v>
      </c>
      <c r="W253" s="5" t="str">
        <f t="shared" si="10"/>
        <v xml:space="preserve"> </v>
      </c>
    </row>
    <row r="254" spans="1:24" x14ac:dyDescent="0.3">
      <c r="A254" s="3">
        <f t="shared" si="9"/>
        <v>253</v>
      </c>
      <c r="B254" s="4" t="s">
        <v>100</v>
      </c>
      <c r="C254" s="3">
        <f>IF(AND(ISNUMBER(MATCH('Journal - Main'!$E254,Lookups!$K$5:$K$16,0))=FALSE,OR(MID('Journal - Main'!N254,4,1)="C",MID('Journal - Main'!N254,4,1)="D")),LEFT('Journal - Main'!N254,2),Input!$B$6)</f>
        <v>20</v>
      </c>
      <c r="E254" s="32" t="s">
        <v>102</v>
      </c>
      <c r="H254" s="5" t="str">
        <f>IF(D254="",CONCATENATE(C254,'Journal - Main'!D254),"")</f>
        <v>20</v>
      </c>
      <c r="K254" s="12">
        <f>ROUND(_xlfn.NUMBERVALUE('Journal - Main'!G254),2)</f>
        <v>0</v>
      </c>
      <c r="L254" s="6"/>
      <c r="M254" s="6"/>
      <c r="N254" s="6"/>
      <c r="O254" s="6"/>
      <c r="P254" s="6"/>
      <c r="Q254" s="6"/>
      <c r="R254" s="5" t="str">
        <f>CONCATENATE(Input!$B$4," ",Input!$B$5," PAY ",TEXT(Input!$B$7,"DD/MM/YY"))</f>
        <v>VIC FN PAY 21/02/24</v>
      </c>
      <c r="S254" s="5">
        <f>'Journal - Main'!B254</f>
        <v>0</v>
      </c>
      <c r="W254" s="5" t="str">
        <f t="shared" si="10"/>
        <v xml:space="preserve"> </v>
      </c>
    </row>
    <row r="255" spans="1:24" x14ac:dyDescent="0.3">
      <c r="A255" s="3">
        <f t="shared" si="9"/>
        <v>254</v>
      </c>
      <c r="B255" s="4" t="s">
        <v>100</v>
      </c>
      <c r="C255" s="3">
        <f>IF(AND(ISNUMBER(MATCH('Journal - Main'!$E255,Lookups!$K$5:$K$16,0))=FALSE,OR(MID('Journal - Main'!N255,4,1)="C",MID('Journal - Main'!N255,4,1)="D")),LEFT('Journal - Main'!N255,2),Input!$B$6)</f>
        <v>20</v>
      </c>
      <c r="E255" s="32" t="s">
        <v>102</v>
      </c>
      <c r="H255" s="5" t="str">
        <f>IF(D255="",CONCATENATE(C255,'Journal - Main'!D255),"")</f>
        <v>20</v>
      </c>
      <c r="K255" s="12">
        <f>ROUND(_xlfn.NUMBERVALUE('Journal - Main'!G255),2)</f>
        <v>0</v>
      </c>
      <c r="L255" s="6"/>
      <c r="M255" s="6"/>
      <c r="N255" s="6"/>
      <c r="O255" s="6"/>
      <c r="P255" s="6"/>
      <c r="Q255" s="6"/>
      <c r="R255" s="5" t="str">
        <f>CONCATENATE(Input!$B$4," ",Input!$B$5," PAY ",TEXT(Input!$B$7,"DD/MM/YY"))</f>
        <v>VIC FN PAY 21/02/24</v>
      </c>
      <c r="S255" s="5">
        <f>'Journal - Main'!B255</f>
        <v>0</v>
      </c>
      <c r="W255" s="5" t="str">
        <f t="shared" si="10"/>
        <v xml:space="preserve"> </v>
      </c>
    </row>
    <row r="256" spans="1:24" s="16" customFormat="1" x14ac:dyDescent="0.3">
      <c r="A256" s="3">
        <f t="shared" si="9"/>
        <v>255</v>
      </c>
      <c r="B256" s="4" t="s">
        <v>100</v>
      </c>
      <c r="C256" s="3">
        <f>IF(AND(ISNUMBER(MATCH('Journal - Main'!$E256,Lookups!$K$5:$K$16,0))=FALSE,OR(MID('Journal - Main'!N256,4,1)="C",MID('Journal - Main'!N256,4,1)="D")),LEFT('Journal - Main'!N256,2),Input!$B$6)</f>
        <v>20</v>
      </c>
      <c r="D256" s="5"/>
      <c r="E256" s="32" t="s">
        <v>102</v>
      </c>
      <c r="F256" s="5"/>
      <c r="G256" s="5"/>
      <c r="H256" s="5" t="str">
        <f>IF(D256="",CONCATENATE(C256,'Journal - Main'!D256),"")</f>
        <v>20</v>
      </c>
      <c r="I256" s="5"/>
      <c r="J256" s="5"/>
      <c r="K256" s="12">
        <f>ROUND(_xlfn.NUMBERVALUE('Journal - Main'!G256),2)</f>
        <v>0</v>
      </c>
      <c r="L256" s="6"/>
      <c r="M256" s="6"/>
      <c r="N256" s="6"/>
      <c r="O256" s="6"/>
      <c r="P256" s="6"/>
      <c r="Q256" s="6"/>
      <c r="R256" s="5" t="str">
        <f>CONCATENATE(Input!$B$4," ",Input!$B$5," PAY ",TEXT(Input!$B$7,"DD/MM/YY"))</f>
        <v>VIC FN PAY 21/02/24</v>
      </c>
      <c r="S256" s="5">
        <f>'Journal - Main'!B256</f>
        <v>0</v>
      </c>
      <c r="T256" s="5"/>
      <c r="U256" s="5"/>
      <c r="V256" s="5"/>
      <c r="W256" s="5" t="str">
        <f t="shared" si="10"/>
        <v xml:space="preserve"> </v>
      </c>
      <c r="X256" s="30"/>
    </row>
    <row r="257" spans="1:24" x14ac:dyDescent="0.3">
      <c r="A257" s="3">
        <f t="shared" si="9"/>
        <v>256</v>
      </c>
      <c r="B257" s="4" t="s">
        <v>100</v>
      </c>
      <c r="C257" s="3">
        <f>IF(AND(ISNUMBER(MATCH('Journal - Main'!$E257,Lookups!$K$5:$K$16,0))=FALSE,OR(MID('Journal - Main'!N257,4,1)="C",MID('Journal - Main'!N257,4,1)="D")),LEFT('Journal - Main'!N257,2),Input!$B$6)</f>
        <v>20</v>
      </c>
      <c r="E257" s="32" t="s">
        <v>102</v>
      </c>
      <c r="H257" s="5" t="str">
        <f>IF(D257="",CONCATENATE(C257,'Journal - Main'!D257),"")</f>
        <v>20</v>
      </c>
      <c r="K257" s="12">
        <f>ROUND(_xlfn.NUMBERVALUE('Journal - Main'!G257),2)</f>
        <v>0</v>
      </c>
      <c r="L257" s="6"/>
      <c r="M257" s="6"/>
      <c r="N257" s="6"/>
      <c r="O257" s="6"/>
      <c r="P257" s="6"/>
      <c r="Q257" s="6"/>
      <c r="R257" s="5" t="str">
        <f>CONCATENATE(Input!$B$4," ",Input!$B$5," PAY ",TEXT(Input!$B$7,"DD/MM/YY"))</f>
        <v>VIC FN PAY 21/02/24</v>
      </c>
      <c r="S257" s="5">
        <f>'Journal - Main'!B257</f>
        <v>0</v>
      </c>
      <c r="W257" s="5" t="str">
        <f t="shared" si="10"/>
        <v xml:space="preserve"> </v>
      </c>
    </row>
    <row r="258" spans="1:24" x14ac:dyDescent="0.3">
      <c r="A258" s="3">
        <f t="shared" si="9"/>
        <v>257</v>
      </c>
      <c r="B258" s="4" t="s">
        <v>100</v>
      </c>
      <c r="C258" s="3">
        <f>IF(AND(ISNUMBER(MATCH('Journal - Main'!$E258,Lookups!$K$5:$K$16,0))=FALSE,OR(MID('Journal - Main'!N258,4,1)="C",MID('Journal - Main'!N258,4,1)="D")),LEFT('Journal - Main'!N258,2),Input!$B$6)</f>
        <v>20</v>
      </c>
      <c r="E258" s="32" t="s">
        <v>102</v>
      </c>
      <c r="H258" s="5" t="str">
        <f>IF(D258="",CONCATENATE(C258,'Journal - Main'!D258),"")</f>
        <v>20</v>
      </c>
      <c r="K258" s="12">
        <f>ROUND(_xlfn.NUMBERVALUE('Journal - Main'!G258),2)</f>
        <v>0</v>
      </c>
      <c r="L258" s="6"/>
      <c r="M258" s="6"/>
      <c r="N258" s="6"/>
      <c r="O258" s="6"/>
      <c r="P258" s="6"/>
      <c r="Q258" s="6"/>
      <c r="R258" s="5" t="str">
        <f>CONCATENATE(Input!$B$4," ",Input!$B$5," PAY ",TEXT(Input!$B$7,"DD/MM/YY"))</f>
        <v>VIC FN PAY 21/02/24</v>
      </c>
      <c r="S258" s="5">
        <f>'Journal - Main'!B258</f>
        <v>0</v>
      </c>
      <c r="W258" s="5" t="str">
        <f t="shared" si="10"/>
        <v xml:space="preserve"> </v>
      </c>
    </row>
    <row r="259" spans="1:24" x14ac:dyDescent="0.3">
      <c r="A259" s="3">
        <f t="shared" si="9"/>
        <v>258</v>
      </c>
      <c r="B259" s="4" t="s">
        <v>100</v>
      </c>
      <c r="C259" s="3">
        <f>IF(AND(ISNUMBER(MATCH('Journal - Main'!$E259,Lookups!$K$5:$K$16,0))=FALSE,OR(MID('Journal - Main'!N259,4,1)="C",MID('Journal - Main'!N259,4,1)="D")),LEFT('Journal - Main'!N259,2),Input!$B$6)</f>
        <v>20</v>
      </c>
      <c r="E259" s="32" t="s">
        <v>102</v>
      </c>
      <c r="H259" s="5" t="str">
        <f>IF(D259="",CONCATENATE(C259,'Journal - Main'!D259),"")</f>
        <v>20</v>
      </c>
      <c r="K259" s="12">
        <f>ROUND(_xlfn.NUMBERVALUE('Journal - Main'!G259),2)</f>
        <v>0</v>
      </c>
      <c r="L259" s="6"/>
      <c r="M259" s="6"/>
      <c r="N259" s="6"/>
      <c r="O259" s="6"/>
      <c r="P259" s="6"/>
      <c r="Q259" s="6"/>
      <c r="R259" s="5" t="str">
        <f>CONCATENATE(Input!$B$4," ",Input!$B$5," PAY ",TEXT(Input!$B$7,"DD/MM/YY"))</f>
        <v>VIC FN PAY 21/02/24</v>
      </c>
      <c r="S259" s="5">
        <f>'Journal - Main'!B259</f>
        <v>0</v>
      </c>
      <c r="W259" s="5" t="str">
        <f t="shared" si="10"/>
        <v xml:space="preserve"> </v>
      </c>
    </row>
    <row r="260" spans="1:24" x14ac:dyDescent="0.3">
      <c r="A260" s="3">
        <f t="shared" ref="A260:A323" si="11">+A259+1</f>
        <v>259</v>
      </c>
      <c r="B260" s="4" t="s">
        <v>100</v>
      </c>
      <c r="C260" s="3">
        <f>IF(AND(ISNUMBER(MATCH('Journal - Main'!$E260,Lookups!$K$5:$K$16,0))=FALSE,OR(MID('Journal - Main'!N260,4,1)="C",MID('Journal - Main'!N260,4,1)="D")),LEFT('Journal - Main'!N260,2),Input!$B$6)</f>
        <v>20</v>
      </c>
      <c r="E260" s="32" t="s">
        <v>102</v>
      </c>
      <c r="H260" s="5" t="str">
        <f>IF(D260="",CONCATENATE(C260,'Journal - Main'!D260),"")</f>
        <v>20</v>
      </c>
      <c r="K260" s="12">
        <f>ROUND(_xlfn.NUMBERVALUE('Journal - Main'!G260),2)</f>
        <v>0</v>
      </c>
      <c r="L260" s="6"/>
      <c r="M260" s="6"/>
      <c r="N260" s="6"/>
      <c r="O260" s="6"/>
      <c r="P260" s="6"/>
      <c r="Q260" s="6"/>
      <c r="R260" s="5" t="str">
        <f>CONCATENATE(Input!$B$4," ",Input!$B$5," PAY ",TEXT(Input!$B$7,"DD/MM/YY"))</f>
        <v>VIC FN PAY 21/02/24</v>
      </c>
      <c r="S260" s="5">
        <f>'Journal - Main'!B260</f>
        <v>0</v>
      </c>
      <c r="W260" s="5" t="str">
        <f t="shared" si="10"/>
        <v xml:space="preserve"> </v>
      </c>
    </row>
    <row r="261" spans="1:24" x14ac:dyDescent="0.3">
      <c r="A261" s="3">
        <f t="shared" si="11"/>
        <v>260</v>
      </c>
      <c r="B261" s="4" t="s">
        <v>100</v>
      </c>
      <c r="C261" s="3">
        <f>IF(AND(ISNUMBER(MATCH('Journal - Main'!$E261,Lookups!$K$5:$K$16,0))=FALSE,OR(MID('Journal - Main'!N261,4,1)="C",MID('Journal - Main'!N261,4,1)="D")),LEFT('Journal - Main'!N261,2),Input!$B$6)</f>
        <v>20</v>
      </c>
      <c r="E261" s="32" t="s">
        <v>102</v>
      </c>
      <c r="H261" s="5" t="str">
        <f>IF(D261="",CONCATENATE(C261,'Journal - Main'!D261),"")</f>
        <v>20</v>
      </c>
      <c r="K261" s="12">
        <f>ROUND(_xlfn.NUMBERVALUE('Journal - Main'!G261),2)</f>
        <v>0</v>
      </c>
      <c r="L261" s="6"/>
      <c r="M261" s="6"/>
      <c r="N261" s="6"/>
      <c r="O261" s="6"/>
      <c r="P261" s="6"/>
      <c r="Q261" s="6"/>
      <c r="R261" s="5" t="str">
        <f>CONCATENATE(Input!$B$4," ",Input!$B$5," PAY ",TEXT(Input!$B$7,"DD/MM/YY"))</f>
        <v>VIC FN PAY 21/02/24</v>
      </c>
      <c r="S261" s="5">
        <f>'Journal - Main'!B261</f>
        <v>0</v>
      </c>
      <c r="W261" s="5" t="str">
        <f t="shared" si="10"/>
        <v xml:space="preserve"> </v>
      </c>
    </row>
    <row r="262" spans="1:24" s="16" customFormat="1" x14ac:dyDescent="0.3">
      <c r="A262" s="3">
        <f t="shared" si="11"/>
        <v>261</v>
      </c>
      <c r="B262" s="4" t="s">
        <v>100</v>
      </c>
      <c r="C262" s="3">
        <f>IF(AND(ISNUMBER(MATCH('Journal - Main'!$E262,Lookups!$K$5:$K$16,0))=FALSE,OR(MID('Journal - Main'!N262,4,1)="C",MID('Journal - Main'!N262,4,1)="D")),LEFT('Journal - Main'!N262,2),Input!$B$6)</f>
        <v>20</v>
      </c>
      <c r="D262" s="5"/>
      <c r="E262" s="32" t="s">
        <v>102</v>
      </c>
      <c r="F262" s="5"/>
      <c r="G262" s="5"/>
      <c r="H262" s="5" t="str">
        <f>IF(D262="",CONCATENATE(C262,'Journal - Main'!D262),"")</f>
        <v>20</v>
      </c>
      <c r="I262" s="5"/>
      <c r="J262" s="5"/>
      <c r="K262" s="12">
        <f>ROUND(_xlfn.NUMBERVALUE('Journal - Main'!G262),2)</f>
        <v>0</v>
      </c>
      <c r="L262" s="6"/>
      <c r="M262" s="6"/>
      <c r="N262" s="6"/>
      <c r="O262" s="6"/>
      <c r="P262" s="6"/>
      <c r="Q262" s="6"/>
      <c r="R262" s="5" t="str">
        <f>CONCATENATE(Input!$B$4," ",Input!$B$5," PAY ",TEXT(Input!$B$7,"DD/MM/YY"))</f>
        <v>VIC FN PAY 21/02/24</v>
      </c>
      <c r="S262" s="5">
        <f>'Journal - Main'!B262</f>
        <v>0</v>
      </c>
      <c r="T262" s="5"/>
      <c r="U262" s="5"/>
      <c r="V262" s="5"/>
      <c r="W262" s="5" t="str">
        <f t="shared" si="10"/>
        <v xml:space="preserve"> </v>
      </c>
      <c r="X262" s="30"/>
    </row>
    <row r="263" spans="1:24" x14ac:dyDescent="0.3">
      <c r="A263" s="3">
        <f t="shared" si="11"/>
        <v>262</v>
      </c>
      <c r="B263" s="4" t="s">
        <v>100</v>
      </c>
      <c r="C263" s="3">
        <f>IF(AND(ISNUMBER(MATCH('Journal - Main'!$E263,Lookups!$K$5:$K$16,0))=FALSE,OR(MID('Journal - Main'!N263,4,1)="C",MID('Journal - Main'!N263,4,1)="D")),LEFT('Journal - Main'!N263,2),Input!$B$6)</f>
        <v>20</v>
      </c>
      <c r="E263" s="32" t="s">
        <v>102</v>
      </c>
      <c r="H263" s="5" t="str">
        <f>IF(D263="",CONCATENATE(C263,'Journal - Main'!D263),"")</f>
        <v>20</v>
      </c>
      <c r="K263" s="12">
        <f>ROUND(_xlfn.NUMBERVALUE('Journal - Main'!G263),2)</f>
        <v>0</v>
      </c>
      <c r="L263" s="6"/>
      <c r="M263" s="6"/>
      <c r="N263" s="6"/>
      <c r="O263" s="6"/>
      <c r="P263" s="6"/>
      <c r="Q263" s="6"/>
      <c r="R263" s="5" t="str">
        <f>CONCATENATE(Input!$B$4," ",Input!$B$5," PAY ",TEXT(Input!$B$7,"DD/MM/YY"))</f>
        <v>VIC FN PAY 21/02/24</v>
      </c>
      <c r="S263" s="5">
        <f>'Journal - Main'!B263</f>
        <v>0</v>
      </c>
      <c r="W263" s="5" t="str">
        <f t="shared" si="10"/>
        <v xml:space="preserve"> </v>
      </c>
    </row>
    <row r="264" spans="1:24" x14ac:dyDescent="0.3">
      <c r="A264" s="3">
        <f t="shared" si="11"/>
        <v>263</v>
      </c>
      <c r="B264" s="4" t="s">
        <v>100</v>
      </c>
      <c r="C264" s="3">
        <f>IF(AND(ISNUMBER(MATCH('Journal - Main'!$E264,Lookups!$K$5:$K$16,0))=FALSE,OR(MID('Journal - Main'!N264,4,1)="C",MID('Journal - Main'!N264,4,1)="D")),LEFT('Journal - Main'!N264,2),Input!$B$6)</f>
        <v>20</v>
      </c>
      <c r="E264" s="32" t="s">
        <v>102</v>
      </c>
      <c r="H264" s="5" t="str">
        <f>IF(D264="",CONCATENATE(C264,'Journal - Main'!D264),"")</f>
        <v>20</v>
      </c>
      <c r="K264" s="12">
        <f>ROUND(_xlfn.NUMBERVALUE('Journal - Main'!G264),2)</f>
        <v>0</v>
      </c>
      <c r="L264" s="6"/>
      <c r="M264" s="6"/>
      <c r="N264" s="6"/>
      <c r="O264" s="6"/>
      <c r="P264" s="6"/>
      <c r="Q264" s="6"/>
      <c r="R264" s="5" t="str">
        <f>CONCATENATE(Input!$B$4," ",Input!$B$5," PAY ",TEXT(Input!$B$7,"DD/MM/YY"))</f>
        <v>VIC FN PAY 21/02/24</v>
      </c>
      <c r="S264" s="5">
        <f>'Journal - Main'!B264</f>
        <v>0</v>
      </c>
      <c r="W264" s="5" t="str">
        <f t="shared" si="10"/>
        <v xml:space="preserve"> </v>
      </c>
    </row>
    <row r="265" spans="1:24" x14ac:dyDescent="0.3">
      <c r="A265" s="3">
        <f t="shared" si="11"/>
        <v>264</v>
      </c>
      <c r="B265" s="4" t="s">
        <v>100</v>
      </c>
      <c r="C265" s="3">
        <f>IF(AND(ISNUMBER(MATCH('Journal - Main'!$E265,Lookups!$K$5:$K$16,0))=FALSE,OR(MID('Journal - Main'!N265,4,1)="C",MID('Journal - Main'!N265,4,1)="D")),LEFT('Journal - Main'!N265,2),Input!$B$6)</f>
        <v>20</v>
      </c>
      <c r="E265" s="32" t="s">
        <v>102</v>
      </c>
      <c r="H265" s="5" t="str">
        <f>IF(D265="",CONCATENATE(C265,'Journal - Main'!D265),"")</f>
        <v>20</v>
      </c>
      <c r="K265" s="12">
        <f>ROUND(_xlfn.NUMBERVALUE('Journal - Main'!G265),2)</f>
        <v>0</v>
      </c>
      <c r="L265" s="6"/>
      <c r="M265" s="6"/>
      <c r="N265" s="6"/>
      <c r="O265" s="6"/>
      <c r="P265" s="6"/>
      <c r="Q265" s="6"/>
      <c r="R265" s="5" t="str">
        <f>CONCATENATE(Input!$B$4," ",Input!$B$5," PAY ",TEXT(Input!$B$7,"DD/MM/YY"))</f>
        <v>VIC FN PAY 21/02/24</v>
      </c>
      <c r="S265" s="5">
        <f>'Journal - Main'!B265</f>
        <v>0</v>
      </c>
      <c r="W265" s="5" t="str">
        <f t="shared" si="10"/>
        <v xml:space="preserve"> </v>
      </c>
    </row>
    <row r="266" spans="1:24" x14ac:dyDescent="0.3">
      <c r="A266" s="3">
        <f t="shared" si="11"/>
        <v>265</v>
      </c>
      <c r="B266" s="4" t="s">
        <v>100</v>
      </c>
      <c r="C266" s="3">
        <f>IF(AND(ISNUMBER(MATCH('Journal - Main'!$E266,Lookups!$K$5:$K$16,0))=FALSE,OR(MID('Journal - Main'!N266,4,1)="C",MID('Journal - Main'!N266,4,1)="D")),LEFT('Journal - Main'!N266,2),Input!$B$6)</f>
        <v>20</v>
      </c>
      <c r="E266" s="32" t="s">
        <v>102</v>
      </c>
      <c r="H266" s="5" t="str">
        <f>IF(D266="",CONCATENATE(C266,'Journal - Main'!D266),"")</f>
        <v>20</v>
      </c>
      <c r="K266" s="12">
        <f>ROUND(_xlfn.NUMBERVALUE('Journal - Main'!G266),2)</f>
        <v>0</v>
      </c>
      <c r="L266" s="6"/>
      <c r="M266" s="6"/>
      <c r="N266" s="6"/>
      <c r="O266" s="6"/>
      <c r="P266" s="6"/>
      <c r="Q266" s="6"/>
      <c r="R266" s="5" t="str">
        <f>CONCATENATE(Input!$B$4," ",Input!$B$5," PAY ",TEXT(Input!$B$7,"DD/MM/YY"))</f>
        <v>VIC FN PAY 21/02/24</v>
      </c>
      <c r="S266" s="5">
        <f>'Journal - Main'!B266</f>
        <v>0</v>
      </c>
      <c r="W266" s="5" t="str">
        <f t="shared" si="10"/>
        <v xml:space="preserve"> </v>
      </c>
    </row>
    <row r="267" spans="1:24" x14ac:dyDescent="0.3">
      <c r="A267" s="3">
        <f t="shared" si="11"/>
        <v>266</v>
      </c>
      <c r="B267" s="4" t="s">
        <v>100</v>
      </c>
      <c r="C267" s="3">
        <f>IF(AND(ISNUMBER(MATCH('Journal - Main'!$E267,Lookups!$K$5:$K$16,0))=FALSE,OR(MID('Journal - Main'!N267,4,1)="C",MID('Journal - Main'!N267,4,1)="D")),LEFT('Journal - Main'!N267,2),Input!$B$6)</f>
        <v>20</v>
      </c>
      <c r="E267" s="32" t="s">
        <v>102</v>
      </c>
      <c r="H267" s="5" t="str">
        <f>IF(D267="",CONCATENATE(C267,'Journal - Main'!D267),"")</f>
        <v>20</v>
      </c>
      <c r="K267" s="12">
        <f>ROUND(_xlfn.NUMBERVALUE('Journal - Main'!G267),2)</f>
        <v>0</v>
      </c>
      <c r="L267" s="6"/>
      <c r="M267" s="6"/>
      <c r="N267" s="6"/>
      <c r="O267" s="6"/>
      <c r="P267" s="6"/>
      <c r="Q267" s="6"/>
      <c r="R267" s="5" t="str">
        <f>CONCATENATE(Input!$B$4," ",Input!$B$5," PAY ",TEXT(Input!$B$7,"DD/MM/YY"))</f>
        <v>VIC FN PAY 21/02/24</v>
      </c>
      <c r="S267" s="5">
        <f>'Journal - Main'!B267</f>
        <v>0</v>
      </c>
      <c r="W267" s="5" t="str">
        <f t="shared" si="10"/>
        <v xml:space="preserve"> </v>
      </c>
    </row>
    <row r="268" spans="1:24" s="16" customFormat="1" x14ac:dyDescent="0.3">
      <c r="A268" s="3">
        <f t="shared" si="11"/>
        <v>267</v>
      </c>
      <c r="B268" s="4" t="s">
        <v>100</v>
      </c>
      <c r="C268" s="3">
        <f>IF(AND(ISNUMBER(MATCH('Journal - Main'!$E268,Lookups!$K$5:$K$16,0))=FALSE,OR(MID('Journal - Main'!N268,4,1)="C",MID('Journal - Main'!N268,4,1)="D")),LEFT('Journal - Main'!N268,2),Input!$B$6)</f>
        <v>20</v>
      </c>
      <c r="D268" s="5"/>
      <c r="E268" s="32" t="s">
        <v>102</v>
      </c>
      <c r="F268" s="5"/>
      <c r="G268" s="5"/>
      <c r="H268" s="5" t="str">
        <f>IF(D268="",CONCATENATE(C268,'Journal - Main'!D268),"")</f>
        <v>20</v>
      </c>
      <c r="I268" s="5"/>
      <c r="J268" s="5"/>
      <c r="K268" s="12">
        <f>ROUND(_xlfn.NUMBERVALUE('Journal - Main'!G268),2)</f>
        <v>0</v>
      </c>
      <c r="L268" s="6"/>
      <c r="M268" s="6"/>
      <c r="N268" s="6"/>
      <c r="O268" s="6"/>
      <c r="P268" s="6"/>
      <c r="Q268" s="6"/>
      <c r="R268" s="5" t="str">
        <f>CONCATENATE(Input!$B$4," ",Input!$B$5," PAY ",TEXT(Input!$B$7,"DD/MM/YY"))</f>
        <v>VIC FN PAY 21/02/24</v>
      </c>
      <c r="S268" s="5">
        <f>'Journal - Main'!B268</f>
        <v>0</v>
      </c>
      <c r="T268" s="5"/>
      <c r="U268" s="5"/>
      <c r="V268" s="5"/>
      <c r="W268" s="5" t="str">
        <f t="shared" si="10"/>
        <v xml:space="preserve"> </v>
      </c>
      <c r="X268" s="30"/>
    </row>
    <row r="269" spans="1:24" x14ac:dyDescent="0.3">
      <c r="A269" s="3">
        <f t="shared" si="11"/>
        <v>268</v>
      </c>
      <c r="B269" s="4" t="s">
        <v>100</v>
      </c>
      <c r="C269" s="3">
        <f>IF(AND(ISNUMBER(MATCH('Journal - Main'!$E269,Lookups!$K$5:$K$16,0))=FALSE,OR(MID('Journal - Main'!N269,4,1)="C",MID('Journal - Main'!N269,4,1)="D")),LEFT('Journal - Main'!N269,2),Input!$B$6)</f>
        <v>20</v>
      </c>
      <c r="E269" s="32" t="s">
        <v>102</v>
      </c>
      <c r="H269" s="5" t="str">
        <f>IF(D269="",CONCATENATE(C269,'Journal - Main'!D269),"")</f>
        <v>20</v>
      </c>
      <c r="K269" s="12">
        <f>ROUND(_xlfn.NUMBERVALUE('Journal - Main'!G269),2)</f>
        <v>0</v>
      </c>
      <c r="L269" s="6"/>
      <c r="M269" s="6"/>
      <c r="N269" s="6"/>
      <c r="O269" s="6"/>
      <c r="P269" s="6"/>
      <c r="Q269" s="6"/>
      <c r="R269" s="5" t="str">
        <f>CONCATENATE(Input!$B$4," ",Input!$B$5," PAY ",TEXT(Input!$B$7,"DD/MM/YY"))</f>
        <v>VIC FN PAY 21/02/24</v>
      </c>
      <c r="S269" s="5">
        <f>'Journal - Main'!B269</f>
        <v>0</v>
      </c>
      <c r="W269" s="5" t="str">
        <f t="shared" ref="W269:W286" si="12">B269</f>
        <v xml:space="preserve"> </v>
      </c>
    </row>
    <row r="270" spans="1:24" x14ac:dyDescent="0.3">
      <c r="A270" s="3">
        <f t="shared" si="11"/>
        <v>269</v>
      </c>
      <c r="B270" s="4" t="s">
        <v>100</v>
      </c>
      <c r="C270" s="3">
        <f>IF(AND(ISNUMBER(MATCH('Journal - Main'!$E270,Lookups!$K$5:$K$16,0))=FALSE,OR(MID('Journal - Main'!N270,4,1)="C",MID('Journal - Main'!N270,4,1)="D")),LEFT('Journal - Main'!N270,2),Input!$B$6)</f>
        <v>20</v>
      </c>
      <c r="E270" s="32" t="s">
        <v>102</v>
      </c>
      <c r="H270" s="5" t="str">
        <f>IF(D270="",CONCATENATE(C270,'Journal - Main'!D270),"")</f>
        <v>20</v>
      </c>
      <c r="K270" s="12">
        <f>ROUND(_xlfn.NUMBERVALUE('Journal - Main'!G270),2)</f>
        <v>0</v>
      </c>
      <c r="L270" s="6"/>
      <c r="M270" s="6"/>
      <c r="N270" s="6"/>
      <c r="O270" s="6"/>
      <c r="P270" s="6"/>
      <c r="Q270" s="6"/>
      <c r="R270" s="5" t="str">
        <f>CONCATENATE(Input!$B$4," ",Input!$B$5," PAY ",TEXT(Input!$B$7,"DD/MM/YY"))</f>
        <v>VIC FN PAY 21/02/24</v>
      </c>
      <c r="S270" s="5">
        <f>'Journal - Main'!B270</f>
        <v>0</v>
      </c>
      <c r="W270" s="5" t="str">
        <f t="shared" si="12"/>
        <v xml:space="preserve"> </v>
      </c>
    </row>
    <row r="271" spans="1:24" x14ac:dyDescent="0.3">
      <c r="A271" s="3">
        <f t="shared" si="11"/>
        <v>270</v>
      </c>
      <c r="B271" s="4" t="s">
        <v>100</v>
      </c>
      <c r="C271" s="3">
        <f>IF(AND(ISNUMBER(MATCH('Journal - Main'!$E271,Lookups!$K$5:$K$16,0))=FALSE,OR(MID('Journal - Main'!N271,4,1)="C",MID('Journal - Main'!N271,4,1)="D")),LEFT('Journal - Main'!N271,2),Input!$B$6)</f>
        <v>20</v>
      </c>
      <c r="E271" s="32" t="s">
        <v>102</v>
      </c>
      <c r="H271" s="5" t="str">
        <f>IF(D271="",CONCATENATE(C271,'Journal - Main'!D271),"")</f>
        <v>20</v>
      </c>
      <c r="K271" s="12">
        <f>ROUND(_xlfn.NUMBERVALUE('Journal - Main'!G271),2)</f>
        <v>0</v>
      </c>
      <c r="L271" s="6"/>
      <c r="M271" s="6"/>
      <c r="N271" s="6"/>
      <c r="O271" s="6"/>
      <c r="P271" s="6"/>
      <c r="Q271" s="6"/>
      <c r="R271" s="5" t="str">
        <f>CONCATENATE(Input!$B$4," ",Input!$B$5," PAY ",TEXT(Input!$B$7,"DD/MM/YY"))</f>
        <v>VIC FN PAY 21/02/24</v>
      </c>
      <c r="S271" s="5">
        <f>'Journal - Main'!B271</f>
        <v>0</v>
      </c>
      <c r="W271" s="5" t="str">
        <f t="shared" si="12"/>
        <v xml:space="preserve"> </v>
      </c>
    </row>
    <row r="272" spans="1:24" x14ac:dyDescent="0.3">
      <c r="A272" s="3">
        <f t="shared" si="11"/>
        <v>271</v>
      </c>
      <c r="B272" s="4" t="s">
        <v>100</v>
      </c>
      <c r="C272" s="3">
        <f>IF(AND(ISNUMBER(MATCH('Journal - Main'!$E272,Lookups!$K$5:$K$16,0))=FALSE,OR(MID('Journal - Main'!N272,4,1)="C",MID('Journal - Main'!N272,4,1)="D")),LEFT('Journal - Main'!N272,2),Input!$B$6)</f>
        <v>20</v>
      </c>
      <c r="E272" s="32" t="s">
        <v>102</v>
      </c>
      <c r="H272" s="5" t="str">
        <f>IF(D272="",CONCATENATE(C272,'Journal - Main'!D272),"")</f>
        <v>20</v>
      </c>
      <c r="K272" s="12">
        <f>ROUND(_xlfn.NUMBERVALUE('Journal - Main'!G272),2)</f>
        <v>0</v>
      </c>
      <c r="L272" s="6"/>
      <c r="M272" s="6"/>
      <c r="N272" s="6"/>
      <c r="O272" s="6"/>
      <c r="P272" s="6"/>
      <c r="Q272" s="6"/>
      <c r="R272" s="5" t="str">
        <f>CONCATENATE(Input!$B$4," ",Input!$B$5," PAY ",TEXT(Input!$B$7,"DD/MM/YY"))</f>
        <v>VIC FN PAY 21/02/24</v>
      </c>
      <c r="S272" s="5">
        <f>'Journal - Main'!B272</f>
        <v>0</v>
      </c>
      <c r="W272" s="5" t="str">
        <f t="shared" si="12"/>
        <v xml:space="preserve"> </v>
      </c>
    </row>
    <row r="273" spans="1:24" x14ac:dyDescent="0.3">
      <c r="A273" s="3">
        <f t="shared" si="11"/>
        <v>272</v>
      </c>
      <c r="B273" s="4" t="s">
        <v>100</v>
      </c>
      <c r="C273" s="3">
        <f>IF(AND(ISNUMBER(MATCH('Journal - Main'!$E273,Lookups!$K$5:$K$16,0))=FALSE,OR(MID('Journal - Main'!N273,4,1)="C",MID('Journal - Main'!N273,4,1)="D")),LEFT('Journal - Main'!N273,2),Input!$B$6)</f>
        <v>20</v>
      </c>
      <c r="E273" s="32" t="s">
        <v>102</v>
      </c>
      <c r="H273" s="5" t="str">
        <f>IF(D273="",CONCATENATE(C273,'Journal - Main'!D273),"")</f>
        <v>20</v>
      </c>
      <c r="K273" s="12">
        <f>ROUND(_xlfn.NUMBERVALUE('Journal - Main'!G273),2)</f>
        <v>0</v>
      </c>
      <c r="L273" s="6"/>
      <c r="M273" s="6"/>
      <c r="N273" s="6"/>
      <c r="O273" s="6"/>
      <c r="P273" s="6"/>
      <c r="Q273" s="6"/>
      <c r="R273" s="5" t="str">
        <f>CONCATENATE(Input!$B$4," ",Input!$B$5," PAY ",TEXT(Input!$B$7,"DD/MM/YY"))</f>
        <v>VIC FN PAY 21/02/24</v>
      </c>
      <c r="S273" s="5">
        <f>'Journal - Main'!B273</f>
        <v>0</v>
      </c>
      <c r="W273" s="5" t="str">
        <f t="shared" si="12"/>
        <v xml:space="preserve"> </v>
      </c>
    </row>
    <row r="274" spans="1:24" s="16" customFormat="1" x14ac:dyDescent="0.3">
      <c r="A274" s="3">
        <f t="shared" si="11"/>
        <v>273</v>
      </c>
      <c r="B274" s="4" t="s">
        <v>100</v>
      </c>
      <c r="C274" s="3">
        <f>IF(AND(ISNUMBER(MATCH('Journal - Main'!$E274,Lookups!$K$5:$K$16,0))=FALSE,OR(MID('Journal - Main'!N274,4,1)="C",MID('Journal - Main'!N274,4,1)="D")),LEFT('Journal - Main'!N274,2),Input!$B$6)</f>
        <v>20</v>
      </c>
      <c r="D274" s="5"/>
      <c r="E274" s="32" t="s">
        <v>102</v>
      </c>
      <c r="F274" s="5"/>
      <c r="G274" s="5"/>
      <c r="H274" s="5" t="str">
        <f>IF(D274="",CONCATENATE(C274,'Journal - Main'!D274),"")</f>
        <v>20</v>
      </c>
      <c r="I274" s="5"/>
      <c r="J274" s="5"/>
      <c r="K274" s="12">
        <f>ROUND(_xlfn.NUMBERVALUE('Journal - Main'!G274),2)</f>
        <v>0</v>
      </c>
      <c r="L274" s="6"/>
      <c r="M274" s="6"/>
      <c r="N274" s="6"/>
      <c r="O274" s="6"/>
      <c r="P274" s="6"/>
      <c r="Q274" s="6"/>
      <c r="R274" s="5" t="str">
        <f>CONCATENATE(Input!$B$4," ",Input!$B$5," PAY ",TEXT(Input!$B$7,"DD/MM/YY"))</f>
        <v>VIC FN PAY 21/02/24</v>
      </c>
      <c r="S274" s="5">
        <f>'Journal - Main'!B274</f>
        <v>0</v>
      </c>
      <c r="T274" s="5"/>
      <c r="U274" s="5"/>
      <c r="V274" s="5"/>
      <c r="W274" s="5" t="str">
        <f t="shared" si="12"/>
        <v xml:space="preserve"> </v>
      </c>
      <c r="X274" s="30"/>
    </row>
    <row r="275" spans="1:24" x14ac:dyDescent="0.3">
      <c r="A275" s="3">
        <f t="shared" si="11"/>
        <v>274</v>
      </c>
      <c r="B275" s="4" t="s">
        <v>100</v>
      </c>
      <c r="C275" s="3">
        <f>IF(AND(ISNUMBER(MATCH('Journal - Main'!$E275,Lookups!$K$5:$K$16,0))=FALSE,OR(MID('Journal - Main'!N275,4,1)="C",MID('Journal - Main'!N275,4,1)="D")),LEFT('Journal - Main'!N275,2),Input!$B$6)</f>
        <v>20</v>
      </c>
      <c r="E275" s="32" t="s">
        <v>102</v>
      </c>
      <c r="H275" s="5" t="str">
        <f>IF(D275="",CONCATENATE(C275,'Journal - Main'!D275),"")</f>
        <v>20</v>
      </c>
      <c r="K275" s="12">
        <f>ROUND(_xlfn.NUMBERVALUE('Journal - Main'!G275),2)</f>
        <v>0</v>
      </c>
      <c r="L275" s="6"/>
      <c r="M275" s="6"/>
      <c r="N275" s="6"/>
      <c r="O275" s="6"/>
      <c r="P275" s="6"/>
      <c r="Q275" s="6"/>
      <c r="R275" s="5" t="str">
        <f>CONCATENATE(Input!$B$4," ",Input!$B$5," PAY ",TEXT(Input!$B$7,"DD/MM/YY"))</f>
        <v>VIC FN PAY 21/02/24</v>
      </c>
      <c r="S275" s="5">
        <f>'Journal - Main'!B275</f>
        <v>0</v>
      </c>
      <c r="W275" s="5" t="str">
        <f t="shared" si="12"/>
        <v xml:space="preserve"> </v>
      </c>
    </row>
    <row r="276" spans="1:24" x14ac:dyDescent="0.3">
      <c r="A276" s="3">
        <f t="shared" si="11"/>
        <v>275</v>
      </c>
      <c r="B276" s="4" t="s">
        <v>100</v>
      </c>
      <c r="C276" s="3">
        <f>IF(AND(ISNUMBER(MATCH('Journal - Main'!$E276,Lookups!$K$5:$K$16,0))=FALSE,OR(MID('Journal - Main'!N276,4,1)="C",MID('Journal - Main'!N276,4,1)="D")),LEFT('Journal - Main'!N276,2),Input!$B$6)</f>
        <v>20</v>
      </c>
      <c r="E276" s="32" t="s">
        <v>102</v>
      </c>
      <c r="H276" s="5" t="str">
        <f>IF(D276="",CONCATENATE(C276,'Journal - Main'!D276),"")</f>
        <v>20</v>
      </c>
      <c r="K276" s="12">
        <f>ROUND(_xlfn.NUMBERVALUE('Journal - Main'!G276),2)</f>
        <v>0</v>
      </c>
      <c r="L276" s="6"/>
      <c r="M276" s="6"/>
      <c r="N276" s="6"/>
      <c r="O276" s="6"/>
      <c r="P276" s="6"/>
      <c r="Q276" s="6"/>
      <c r="R276" s="5" t="str">
        <f>CONCATENATE(Input!$B$4," ",Input!$B$5," PAY ",TEXT(Input!$B$7,"DD/MM/YY"))</f>
        <v>VIC FN PAY 21/02/24</v>
      </c>
      <c r="S276" s="5">
        <f>'Journal - Main'!B276</f>
        <v>0</v>
      </c>
      <c r="W276" s="5" t="str">
        <f t="shared" si="12"/>
        <v xml:space="preserve"> </v>
      </c>
    </row>
    <row r="277" spans="1:24" x14ac:dyDescent="0.3">
      <c r="A277" s="3">
        <f t="shared" si="11"/>
        <v>276</v>
      </c>
      <c r="B277" s="4" t="s">
        <v>100</v>
      </c>
      <c r="C277" s="3">
        <f>IF(AND(ISNUMBER(MATCH('Journal - Main'!$E277,Lookups!$K$5:$K$16,0))=FALSE,OR(MID('Journal - Main'!N277,4,1)="C",MID('Journal - Main'!N277,4,1)="D")),LEFT('Journal - Main'!N277,2),Input!$B$6)</f>
        <v>20</v>
      </c>
      <c r="E277" s="32" t="s">
        <v>102</v>
      </c>
      <c r="H277" s="5" t="str">
        <f>IF(D277="",CONCATENATE(C277,'Journal - Main'!D277),"")</f>
        <v>20</v>
      </c>
      <c r="K277" s="12">
        <f>ROUND(_xlfn.NUMBERVALUE('Journal - Main'!G277),2)</f>
        <v>0</v>
      </c>
      <c r="L277" s="6"/>
      <c r="M277" s="6"/>
      <c r="N277" s="6"/>
      <c r="O277" s="6"/>
      <c r="P277" s="6"/>
      <c r="Q277" s="6"/>
      <c r="R277" s="5" t="str">
        <f>CONCATENATE(Input!$B$4," ",Input!$B$5," PAY ",TEXT(Input!$B$7,"DD/MM/YY"))</f>
        <v>VIC FN PAY 21/02/24</v>
      </c>
      <c r="S277" s="5">
        <f>'Journal - Main'!B277</f>
        <v>0</v>
      </c>
      <c r="W277" s="5" t="str">
        <f t="shared" si="12"/>
        <v xml:space="preserve"> </v>
      </c>
    </row>
    <row r="278" spans="1:24" x14ac:dyDescent="0.3">
      <c r="A278" s="3">
        <f t="shared" si="11"/>
        <v>277</v>
      </c>
      <c r="B278" s="4" t="s">
        <v>100</v>
      </c>
      <c r="C278" s="3">
        <f>IF(AND(ISNUMBER(MATCH('Journal - Main'!$E278,Lookups!$K$5:$K$16,0))=FALSE,OR(MID('Journal - Main'!N278,4,1)="C",MID('Journal - Main'!N278,4,1)="D")),LEFT('Journal - Main'!N278,2),Input!$B$6)</f>
        <v>20</v>
      </c>
      <c r="E278" s="32" t="s">
        <v>102</v>
      </c>
      <c r="H278" s="5" t="str">
        <f>IF(D278="",CONCATENATE(C278,'Journal - Main'!D278),"")</f>
        <v>20</v>
      </c>
      <c r="K278" s="12">
        <f>ROUND(_xlfn.NUMBERVALUE('Journal - Main'!G278),2)</f>
        <v>0</v>
      </c>
      <c r="L278" s="6"/>
      <c r="M278" s="6"/>
      <c r="N278" s="6"/>
      <c r="O278" s="6"/>
      <c r="P278" s="6"/>
      <c r="Q278" s="6"/>
      <c r="R278" s="5" t="str">
        <f>CONCATENATE(Input!$B$4," ",Input!$B$5," PAY ",TEXT(Input!$B$7,"DD/MM/YY"))</f>
        <v>VIC FN PAY 21/02/24</v>
      </c>
      <c r="S278" s="5">
        <f>'Journal - Main'!B278</f>
        <v>0</v>
      </c>
      <c r="W278" s="5" t="str">
        <f t="shared" si="12"/>
        <v xml:space="preserve"> </v>
      </c>
    </row>
    <row r="279" spans="1:24" x14ac:dyDescent="0.3">
      <c r="A279" s="3">
        <f t="shared" si="11"/>
        <v>278</v>
      </c>
      <c r="B279" s="4" t="s">
        <v>100</v>
      </c>
      <c r="C279" s="3">
        <f>IF(AND(ISNUMBER(MATCH('Journal - Main'!$E279,Lookups!$K$5:$K$16,0))=FALSE,OR(MID('Journal - Main'!N279,4,1)="C",MID('Journal - Main'!N279,4,1)="D")),LEFT('Journal - Main'!N279,2),Input!$B$6)</f>
        <v>20</v>
      </c>
      <c r="E279" s="32" t="s">
        <v>102</v>
      </c>
      <c r="H279" s="5" t="str">
        <f>IF(D279="",CONCATENATE(C279,'Journal - Main'!D279),"")</f>
        <v>20</v>
      </c>
      <c r="K279" s="12">
        <f>ROUND(_xlfn.NUMBERVALUE('Journal - Main'!G279),2)</f>
        <v>0</v>
      </c>
      <c r="L279" s="6"/>
      <c r="M279" s="6"/>
      <c r="N279" s="6"/>
      <c r="O279" s="6"/>
      <c r="P279" s="6"/>
      <c r="Q279" s="6"/>
      <c r="R279" s="5" t="str">
        <f>CONCATENATE(Input!$B$4," ",Input!$B$5," PAY ",TEXT(Input!$B$7,"DD/MM/YY"))</f>
        <v>VIC FN PAY 21/02/24</v>
      </c>
      <c r="S279" s="5">
        <f>'Journal - Main'!B279</f>
        <v>0</v>
      </c>
      <c r="W279" s="5" t="str">
        <f t="shared" si="12"/>
        <v xml:space="preserve"> </v>
      </c>
    </row>
    <row r="280" spans="1:24" s="16" customFormat="1" x14ac:dyDescent="0.3">
      <c r="A280" s="3">
        <f t="shared" si="11"/>
        <v>279</v>
      </c>
      <c r="B280" s="4" t="s">
        <v>100</v>
      </c>
      <c r="C280" s="3">
        <f>IF(AND(ISNUMBER(MATCH('Journal - Main'!$E280,Lookups!$K$5:$K$16,0))=FALSE,OR(MID('Journal - Main'!N280,4,1)="C",MID('Journal - Main'!N280,4,1)="D")),LEFT('Journal - Main'!N280,2),Input!$B$6)</f>
        <v>20</v>
      </c>
      <c r="D280" s="5"/>
      <c r="E280" s="32" t="s">
        <v>102</v>
      </c>
      <c r="F280" s="5"/>
      <c r="G280" s="5"/>
      <c r="H280" s="5" t="str">
        <f>IF(D280="",CONCATENATE(C280,'Journal - Main'!D280),"")</f>
        <v>20</v>
      </c>
      <c r="I280" s="5"/>
      <c r="J280" s="5"/>
      <c r="K280" s="12">
        <f>ROUND(_xlfn.NUMBERVALUE('Journal - Main'!G280),2)</f>
        <v>0</v>
      </c>
      <c r="L280" s="6"/>
      <c r="M280" s="6"/>
      <c r="N280" s="6"/>
      <c r="O280" s="6"/>
      <c r="P280" s="6"/>
      <c r="Q280" s="6"/>
      <c r="R280" s="5" t="str">
        <f>CONCATENATE(Input!$B$4," ",Input!$B$5," PAY ",TEXT(Input!$B$7,"DD/MM/YY"))</f>
        <v>VIC FN PAY 21/02/24</v>
      </c>
      <c r="S280" s="5">
        <f>'Journal - Main'!B280</f>
        <v>0</v>
      </c>
      <c r="T280" s="5"/>
      <c r="U280" s="5"/>
      <c r="V280" s="5"/>
      <c r="W280" s="5" t="str">
        <f t="shared" si="12"/>
        <v xml:space="preserve"> </v>
      </c>
      <c r="X280" s="30"/>
    </row>
    <row r="281" spans="1:24" x14ac:dyDescent="0.3">
      <c r="A281" s="3">
        <f t="shared" si="11"/>
        <v>280</v>
      </c>
      <c r="B281" s="4" t="s">
        <v>100</v>
      </c>
      <c r="C281" s="3">
        <f>IF(AND(ISNUMBER(MATCH('Journal - Main'!$E281,Lookups!$K$5:$K$16,0))=FALSE,OR(MID('Journal - Main'!N281,4,1)="C",MID('Journal - Main'!N281,4,1)="D")),LEFT('Journal - Main'!N281,2),Input!$B$6)</f>
        <v>20</v>
      </c>
      <c r="E281" s="32" t="s">
        <v>102</v>
      </c>
      <c r="H281" s="5" t="str">
        <f>IF(D281="",CONCATENATE(C281,'Journal - Main'!D281),"")</f>
        <v>20</v>
      </c>
      <c r="K281" s="12">
        <f>ROUND(_xlfn.NUMBERVALUE('Journal - Main'!G281),2)</f>
        <v>0</v>
      </c>
      <c r="L281" s="6"/>
      <c r="M281" s="6"/>
      <c r="N281" s="6"/>
      <c r="O281" s="6"/>
      <c r="P281" s="6"/>
      <c r="Q281" s="6"/>
      <c r="R281" s="5" t="str">
        <f>CONCATENATE(Input!$B$4," ",Input!$B$5," PAY ",TEXT(Input!$B$7,"DD/MM/YY"))</f>
        <v>VIC FN PAY 21/02/24</v>
      </c>
      <c r="S281" s="5">
        <f>'Journal - Main'!B281</f>
        <v>0</v>
      </c>
      <c r="W281" s="5" t="str">
        <f t="shared" si="12"/>
        <v xml:space="preserve"> </v>
      </c>
    </row>
    <row r="282" spans="1:24" x14ac:dyDescent="0.3">
      <c r="A282" s="3">
        <f t="shared" si="11"/>
        <v>281</v>
      </c>
      <c r="B282" s="4" t="s">
        <v>100</v>
      </c>
      <c r="C282" s="3">
        <f>IF(AND(ISNUMBER(MATCH('Journal - Main'!$E282,Lookups!$K$5:$K$16,0))=FALSE,OR(MID('Journal - Main'!N282,4,1)="C",MID('Journal - Main'!N282,4,1)="D")),LEFT('Journal - Main'!N282,2),Input!$B$6)</f>
        <v>20</v>
      </c>
      <c r="E282" s="32" t="s">
        <v>102</v>
      </c>
      <c r="H282" s="5" t="str">
        <f>IF(D282="",CONCATENATE(C282,'Journal - Main'!D282),"")</f>
        <v>20</v>
      </c>
      <c r="K282" s="12">
        <f>ROUND(_xlfn.NUMBERVALUE('Journal - Main'!G282),2)</f>
        <v>0</v>
      </c>
      <c r="L282" s="6"/>
      <c r="M282" s="6"/>
      <c r="N282" s="6"/>
      <c r="O282" s="6"/>
      <c r="P282" s="6"/>
      <c r="Q282" s="6"/>
      <c r="R282" s="5" t="str">
        <f>CONCATENATE(Input!$B$4," ",Input!$B$5," PAY ",TEXT(Input!$B$7,"DD/MM/YY"))</f>
        <v>VIC FN PAY 21/02/24</v>
      </c>
      <c r="S282" s="5">
        <f>'Journal - Main'!B282</f>
        <v>0</v>
      </c>
      <c r="W282" s="5" t="str">
        <f t="shared" si="12"/>
        <v xml:space="preserve"> </v>
      </c>
    </row>
    <row r="283" spans="1:24" x14ac:dyDescent="0.3">
      <c r="A283" s="3">
        <f t="shared" si="11"/>
        <v>282</v>
      </c>
      <c r="B283" s="4" t="s">
        <v>100</v>
      </c>
      <c r="C283" s="3">
        <f>IF(AND(ISNUMBER(MATCH('Journal - Main'!$E283,Lookups!$K$5:$K$16,0))=FALSE,OR(MID('Journal - Main'!N283,4,1)="C",MID('Journal - Main'!N283,4,1)="D")),LEFT('Journal - Main'!N283,2),Input!$B$6)</f>
        <v>20</v>
      </c>
      <c r="E283" s="32" t="s">
        <v>102</v>
      </c>
      <c r="H283" s="5" t="str">
        <f>IF(D283="",CONCATENATE(C283,'Journal - Main'!D283),"")</f>
        <v>20</v>
      </c>
      <c r="K283" s="12">
        <f>ROUND(_xlfn.NUMBERVALUE('Journal - Main'!G283),2)</f>
        <v>0</v>
      </c>
      <c r="L283" s="6"/>
      <c r="M283" s="6"/>
      <c r="N283" s="6"/>
      <c r="O283" s="6"/>
      <c r="P283" s="6"/>
      <c r="Q283" s="6"/>
      <c r="R283" s="5" t="str">
        <f>CONCATENATE(Input!$B$4," ",Input!$B$5," PAY ",TEXT(Input!$B$7,"DD/MM/YY"))</f>
        <v>VIC FN PAY 21/02/24</v>
      </c>
      <c r="S283" s="5">
        <f>'Journal - Main'!B283</f>
        <v>0</v>
      </c>
      <c r="W283" s="5" t="str">
        <f t="shared" si="12"/>
        <v xml:space="preserve"> </v>
      </c>
    </row>
    <row r="284" spans="1:24" x14ac:dyDescent="0.3">
      <c r="A284" s="3">
        <f t="shared" si="11"/>
        <v>283</v>
      </c>
      <c r="B284" s="4" t="s">
        <v>100</v>
      </c>
      <c r="C284" s="3">
        <f>IF(AND(ISNUMBER(MATCH('Journal - Main'!$E284,Lookups!$K$5:$K$16,0))=FALSE,OR(MID('Journal - Main'!N284,4,1)="C",MID('Journal - Main'!N284,4,1)="D")),LEFT('Journal - Main'!N284,2),Input!$B$6)</f>
        <v>20</v>
      </c>
      <c r="E284" s="32" t="s">
        <v>102</v>
      </c>
      <c r="H284" s="5" t="str">
        <f>IF(D284="",CONCATENATE(C284,'Journal - Main'!D284),"")</f>
        <v>20</v>
      </c>
      <c r="K284" s="12">
        <f>ROUND(_xlfn.NUMBERVALUE('Journal - Main'!G284),2)</f>
        <v>0</v>
      </c>
      <c r="L284" s="6"/>
      <c r="M284" s="6"/>
      <c r="N284" s="6"/>
      <c r="O284" s="6"/>
      <c r="P284" s="6"/>
      <c r="Q284" s="6"/>
      <c r="R284" s="5" t="str">
        <f>CONCATENATE(Input!$B$4," ",Input!$B$5," PAY ",TEXT(Input!$B$7,"DD/MM/YY"))</f>
        <v>VIC FN PAY 21/02/24</v>
      </c>
      <c r="S284" s="5">
        <f>'Journal - Main'!B284</f>
        <v>0</v>
      </c>
      <c r="W284" s="5" t="str">
        <f t="shared" si="12"/>
        <v xml:space="preserve"> </v>
      </c>
    </row>
    <row r="285" spans="1:24" x14ac:dyDescent="0.3">
      <c r="A285" s="3">
        <f t="shared" si="11"/>
        <v>284</v>
      </c>
      <c r="B285" s="4" t="s">
        <v>100</v>
      </c>
      <c r="C285" s="3">
        <f>IF(AND(ISNUMBER(MATCH('Journal - Main'!$E285,Lookups!$K$5:$K$16,0))=FALSE,OR(MID('Journal - Main'!N285,4,1)="C",MID('Journal - Main'!N285,4,1)="D")),LEFT('Journal - Main'!N285,2),Input!$B$6)</f>
        <v>20</v>
      </c>
      <c r="E285" s="32" t="s">
        <v>102</v>
      </c>
      <c r="H285" s="5" t="str">
        <f>IF(D285="",CONCATENATE(C285,'Journal - Main'!D285),"")</f>
        <v>20</v>
      </c>
      <c r="K285" s="12">
        <f>ROUND(_xlfn.NUMBERVALUE('Journal - Main'!G285),2)</f>
        <v>0</v>
      </c>
      <c r="L285" s="6"/>
      <c r="M285" s="6"/>
      <c r="N285" s="6"/>
      <c r="O285" s="6"/>
      <c r="P285" s="6"/>
      <c r="Q285" s="6"/>
      <c r="R285" s="5" t="str">
        <f>CONCATENATE(Input!$B$4," ",Input!$B$5," PAY ",TEXT(Input!$B$7,"DD/MM/YY"))</f>
        <v>VIC FN PAY 21/02/24</v>
      </c>
      <c r="S285" s="5">
        <f>'Journal - Main'!B285</f>
        <v>0</v>
      </c>
      <c r="W285" s="5" t="str">
        <f t="shared" si="12"/>
        <v xml:space="preserve"> </v>
      </c>
    </row>
    <row r="286" spans="1:24" x14ac:dyDescent="0.3">
      <c r="A286" s="3">
        <f t="shared" si="11"/>
        <v>285</v>
      </c>
      <c r="B286" s="4" t="s">
        <v>100</v>
      </c>
      <c r="C286" s="3">
        <f>IF(AND(ISNUMBER(MATCH('Journal - Main'!$E286,Lookups!$K$5:$K$16,0))=FALSE,OR(MID('Journal - Main'!N286,4,1)="C",MID('Journal - Main'!N286,4,1)="D")),LEFT('Journal - Main'!N286,2),Input!$B$6)</f>
        <v>20</v>
      </c>
      <c r="E286" s="32" t="s">
        <v>102</v>
      </c>
      <c r="H286" s="5" t="str">
        <f>IF(D286="",CONCATENATE(C286,'Journal - Main'!D286),"")</f>
        <v>20</v>
      </c>
      <c r="K286" s="12">
        <f>ROUND(_xlfn.NUMBERVALUE('Journal - Main'!G286),2)</f>
        <v>0</v>
      </c>
      <c r="L286" s="6"/>
      <c r="M286" s="6"/>
      <c r="N286" s="6"/>
      <c r="O286" s="6"/>
      <c r="P286" s="6"/>
      <c r="Q286" s="6"/>
      <c r="R286" s="5" t="str">
        <f>CONCATENATE(Input!$B$4," ",Input!$B$5," PAY ",TEXT(Input!$B$7,"DD/MM/YY"))</f>
        <v>VIC FN PAY 21/02/24</v>
      </c>
      <c r="S286" s="5">
        <f>'Journal - Main'!B286</f>
        <v>0</v>
      </c>
      <c r="W286" s="5" t="str">
        <f t="shared" si="12"/>
        <v xml:space="preserve"> </v>
      </c>
    </row>
    <row r="287" spans="1:24" x14ac:dyDescent="0.3">
      <c r="A287" s="3">
        <f t="shared" si="11"/>
        <v>286</v>
      </c>
      <c r="B287" s="4" t="s">
        <v>100</v>
      </c>
      <c r="C287" s="3">
        <f>IF(AND(ISNUMBER(MATCH('Journal - Main'!$E287,Lookups!$K$5:$K$16,0))=FALSE,OR(MID('Journal - Main'!N287,4,1)="C",MID('Journal - Main'!N287,4,1)="D")),LEFT('Journal - Main'!N287,2),Input!$B$6)</f>
        <v>20</v>
      </c>
      <c r="E287" s="32" t="s">
        <v>102</v>
      </c>
      <c r="H287" s="5" t="str">
        <f>IF(D287="",CONCATENATE(C287,'Journal - Main'!D287),"")</f>
        <v>20</v>
      </c>
      <c r="K287" s="12">
        <f>ROUND(_xlfn.NUMBERVALUE('Journal - Main'!G287),2)</f>
        <v>0</v>
      </c>
      <c r="L287" s="6"/>
      <c r="M287" s="6"/>
      <c r="N287" s="6"/>
      <c r="O287" s="6"/>
      <c r="P287" s="6"/>
      <c r="Q287" s="6"/>
      <c r="R287" s="5" t="str">
        <f>CONCATENATE(Input!$B$4," ",Input!$B$5," PAY ",TEXT(Input!$B$7,"DD/MM/YY"))</f>
        <v>VIC FN PAY 21/02/24</v>
      </c>
      <c r="S287" s="5">
        <f>'Journal - Main'!B287</f>
        <v>0</v>
      </c>
      <c r="W287" s="5" t="str">
        <f t="shared" ref="W287:W342" si="13">B287</f>
        <v xml:space="preserve"> </v>
      </c>
    </row>
    <row r="288" spans="1:24" x14ac:dyDescent="0.3">
      <c r="A288" s="3">
        <f t="shared" si="11"/>
        <v>287</v>
      </c>
      <c r="B288" s="4" t="s">
        <v>100</v>
      </c>
      <c r="C288" s="3">
        <f>IF(AND(ISNUMBER(MATCH('Journal - Main'!$E288,Lookups!$K$5:$K$16,0))=FALSE,OR(MID('Journal - Main'!N288,4,1)="C",MID('Journal - Main'!N288,4,1)="D")),LEFT('Journal - Main'!N288,2),Input!$B$6)</f>
        <v>20</v>
      </c>
      <c r="E288" s="32" t="s">
        <v>102</v>
      </c>
      <c r="H288" s="5" t="str">
        <f>IF(D288="",CONCATENATE(C288,'Journal - Main'!D288),"")</f>
        <v>20</v>
      </c>
      <c r="K288" s="12">
        <f>ROUND(_xlfn.NUMBERVALUE('Journal - Main'!G288),2)</f>
        <v>0</v>
      </c>
      <c r="L288" s="6"/>
      <c r="M288" s="6"/>
      <c r="N288" s="6"/>
      <c r="O288" s="6"/>
      <c r="P288" s="6"/>
      <c r="Q288" s="6"/>
      <c r="R288" s="5" t="str">
        <f>CONCATENATE(Input!$B$4," ",Input!$B$5," PAY ",TEXT(Input!$B$7,"DD/MM/YY"))</f>
        <v>VIC FN PAY 21/02/24</v>
      </c>
      <c r="S288" s="5">
        <f>'Journal - Main'!B288</f>
        <v>0</v>
      </c>
      <c r="W288" s="5" t="str">
        <f t="shared" si="13"/>
        <v xml:space="preserve"> </v>
      </c>
    </row>
    <row r="289" spans="1:23" x14ac:dyDescent="0.3">
      <c r="A289" s="3">
        <f t="shared" si="11"/>
        <v>288</v>
      </c>
      <c r="B289" s="4" t="s">
        <v>100</v>
      </c>
      <c r="C289" s="3">
        <f>IF(AND(ISNUMBER(MATCH('Journal - Main'!$E289,Lookups!$K$5:$K$16,0))=FALSE,OR(MID('Journal - Main'!N289,4,1)="C",MID('Journal - Main'!N289,4,1)="D")),LEFT('Journal - Main'!N289,2),Input!$B$6)</f>
        <v>20</v>
      </c>
      <c r="E289" s="32" t="s">
        <v>102</v>
      </c>
      <c r="H289" s="5" t="str">
        <f>IF(D289="",CONCATENATE(C289,'Journal - Main'!D289),"")</f>
        <v>20</v>
      </c>
      <c r="K289" s="12">
        <f>ROUND(_xlfn.NUMBERVALUE('Journal - Main'!G289),2)</f>
        <v>0</v>
      </c>
      <c r="L289" s="6"/>
      <c r="M289" s="6"/>
      <c r="N289" s="6"/>
      <c r="O289" s="6"/>
      <c r="P289" s="6"/>
      <c r="Q289" s="6"/>
      <c r="R289" s="5" t="str">
        <f>CONCATENATE(Input!$B$4," ",Input!$B$5," PAY ",TEXT(Input!$B$7,"DD/MM/YY"))</f>
        <v>VIC FN PAY 21/02/24</v>
      </c>
      <c r="S289" s="5">
        <f>'Journal - Main'!B289</f>
        <v>0</v>
      </c>
      <c r="W289" s="5" t="str">
        <f t="shared" si="13"/>
        <v xml:space="preserve"> </v>
      </c>
    </row>
    <row r="290" spans="1:23" x14ac:dyDescent="0.3">
      <c r="A290" s="3">
        <f t="shared" si="11"/>
        <v>289</v>
      </c>
      <c r="B290" s="4" t="s">
        <v>100</v>
      </c>
      <c r="C290" s="3">
        <f>IF(AND(ISNUMBER(MATCH('Journal - Main'!$E290,Lookups!$K$5:$K$16,0))=FALSE,OR(MID('Journal - Main'!N290,4,1)="C",MID('Journal - Main'!N290,4,1)="D")),LEFT('Journal - Main'!N290,2),Input!$B$6)</f>
        <v>20</v>
      </c>
      <c r="E290" s="32" t="s">
        <v>102</v>
      </c>
      <c r="H290" s="5" t="str">
        <f>IF(D290="",CONCATENATE(C290,'Journal - Main'!D290),"")</f>
        <v>20</v>
      </c>
      <c r="K290" s="12">
        <f>ROUND(_xlfn.NUMBERVALUE('Journal - Main'!G290),2)</f>
        <v>0</v>
      </c>
      <c r="L290" s="6"/>
      <c r="M290" s="6"/>
      <c r="N290" s="6"/>
      <c r="O290" s="6"/>
      <c r="P290" s="6"/>
      <c r="Q290" s="6"/>
      <c r="R290" s="5" t="str">
        <f>CONCATENATE(Input!$B$4," ",Input!$B$5," PAY ",TEXT(Input!$B$7,"DD/MM/YY"))</f>
        <v>VIC FN PAY 21/02/24</v>
      </c>
      <c r="S290" s="5">
        <f>'Journal - Main'!B290</f>
        <v>0</v>
      </c>
      <c r="W290" s="5" t="str">
        <f t="shared" si="13"/>
        <v xml:space="preserve"> </v>
      </c>
    </row>
    <row r="291" spans="1:23" x14ac:dyDescent="0.3">
      <c r="A291" s="3">
        <f t="shared" si="11"/>
        <v>290</v>
      </c>
      <c r="B291" s="4" t="s">
        <v>100</v>
      </c>
      <c r="C291" s="3">
        <f>IF(AND(ISNUMBER(MATCH('Journal - Main'!$E291,Lookups!$K$5:$K$16,0))=FALSE,OR(MID('Journal - Main'!N291,4,1)="C",MID('Journal - Main'!N291,4,1)="D")),LEFT('Journal - Main'!N291,2),Input!$B$6)</f>
        <v>20</v>
      </c>
      <c r="E291" s="32" t="s">
        <v>102</v>
      </c>
      <c r="H291" s="5" t="str">
        <f>IF(D291="",CONCATENATE(C291,'Journal - Main'!D291),"")</f>
        <v>20</v>
      </c>
      <c r="K291" s="12">
        <f>ROUND(_xlfn.NUMBERVALUE('Journal - Main'!G291),2)</f>
        <v>0</v>
      </c>
      <c r="L291" s="6"/>
      <c r="M291" s="6"/>
      <c r="N291" s="6"/>
      <c r="O291" s="6"/>
      <c r="P291" s="6"/>
      <c r="Q291" s="6"/>
      <c r="R291" s="5" t="str">
        <f>CONCATENATE(Input!$B$4," ",Input!$B$5," PAY ",TEXT(Input!$B$7,"DD/MM/YY"))</f>
        <v>VIC FN PAY 21/02/24</v>
      </c>
      <c r="S291" s="5">
        <f>'Journal - Main'!B291</f>
        <v>0</v>
      </c>
      <c r="W291" s="5" t="str">
        <f t="shared" si="13"/>
        <v xml:space="preserve"> </v>
      </c>
    </row>
    <row r="292" spans="1:23" x14ac:dyDescent="0.3">
      <c r="A292" s="3">
        <f t="shared" si="11"/>
        <v>291</v>
      </c>
      <c r="B292" s="4" t="s">
        <v>100</v>
      </c>
      <c r="C292" s="3">
        <f>IF(AND(ISNUMBER(MATCH('Journal - Main'!$E292,Lookups!$K$5:$K$16,0))=FALSE,OR(MID('Journal - Main'!N292,4,1)="C",MID('Journal - Main'!N292,4,1)="D")),LEFT('Journal - Main'!N292,2),Input!$B$6)</f>
        <v>20</v>
      </c>
      <c r="E292" s="32" t="s">
        <v>102</v>
      </c>
      <c r="H292" s="5" t="str">
        <f>IF(D292="",CONCATENATE(C292,'Journal - Main'!D292),"")</f>
        <v>20</v>
      </c>
      <c r="K292" s="12">
        <f>ROUND(_xlfn.NUMBERVALUE('Journal - Main'!G292),2)</f>
        <v>0</v>
      </c>
      <c r="L292" s="6"/>
      <c r="M292" s="6"/>
      <c r="N292" s="6"/>
      <c r="O292" s="6"/>
      <c r="P292" s="6"/>
      <c r="Q292" s="6"/>
      <c r="R292" s="5" t="str">
        <f>CONCATENATE(Input!$B$4," ",Input!$B$5," PAY ",TEXT(Input!$B$7,"DD/MM/YY"))</f>
        <v>VIC FN PAY 21/02/24</v>
      </c>
      <c r="S292" s="5">
        <f>'Journal - Main'!B292</f>
        <v>0</v>
      </c>
      <c r="W292" s="5" t="str">
        <f t="shared" si="13"/>
        <v xml:space="preserve"> </v>
      </c>
    </row>
    <row r="293" spans="1:23" x14ac:dyDescent="0.3">
      <c r="A293" s="3">
        <f t="shared" si="11"/>
        <v>292</v>
      </c>
      <c r="B293" s="4" t="s">
        <v>100</v>
      </c>
      <c r="C293" s="3">
        <f>IF(AND(ISNUMBER(MATCH('Journal - Main'!$E293,Lookups!$K$5:$K$16,0))=FALSE,OR(MID('Journal - Main'!N293,4,1)="C",MID('Journal - Main'!N293,4,1)="D")),LEFT('Journal - Main'!N293,2),Input!$B$6)</f>
        <v>20</v>
      </c>
      <c r="E293" s="32" t="s">
        <v>102</v>
      </c>
      <c r="H293" s="5" t="str">
        <f>IF(D293="",CONCATENATE(C293,'Journal - Main'!D293),"")</f>
        <v>20</v>
      </c>
      <c r="K293" s="12">
        <f>ROUND(_xlfn.NUMBERVALUE('Journal - Main'!G293),2)</f>
        <v>0</v>
      </c>
      <c r="L293" s="6"/>
      <c r="M293" s="6"/>
      <c r="N293" s="6"/>
      <c r="O293" s="6"/>
      <c r="P293" s="6"/>
      <c r="Q293" s="6"/>
      <c r="R293" s="5" t="str">
        <f>CONCATENATE(Input!$B$4," ",Input!$B$5," PAY ",TEXT(Input!$B$7,"DD/MM/YY"))</f>
        <v>VIC FN PAY 21/02/24</v>
      </c>
      <c r="S293" s="5">
        <f>'Journal - Main'!B293</f>
        <v>0</v>
      </c>
      <c r="W293" s="5" t="str">
        <f t="shared" si="13"/>
        <v xml:space="preserve"> </v>
      </c>
    </row>
    <row r="294" spans="1:23" x14ac:dyDescent="0.3">
      <c r="A294" s="3">
        <f t="shared" si="11"/>
        <v>293</v>
      </c>
      <c r="B294" s="4" t="s">
        <v>100</v>
      </c>
      <c r="C294" s="3">
        <f>IF(AND(ISNUMBER(MATCH('Journal - Main'!$E294,Lookups!$K$5:$K$16,0))=FALSE,OR(MID('Journal - Main'!N294,4,1)="C",MID('Journal - Main'!N294,4,1)="D")),LEFT('Journal - Main'!N294,2),Input!$B$6)</f>
        <v>20</v>
      </c>
      <c r="E294" s="32" t="s">
        <v>102</v>
      </c>
      <c r="H294" s="5" t="str">
        <f>IF(D294="",CONCATENATE(C294,'Journal - Main'!D294),"")</f>
        <v>20</v>
      </c>
      <c r="K294" s="12">
        <f>ROUND(_xlfn.NUMBERVALUE('Journal - Main'!G294),2)</f>
        <v>0</v>
      </c>
      <c r="L294" s="6"/>
      <c r="M294" s="6"/>
      <c r="N294" s="6"/>
      <c r="O294" s="6"/>
      <c r="P294" s="6"/>
      <c r="Q294" s="6"/>
      <c r="R294" s="5" t="str">
        <f>CONCATENATE(Input!$B$4," ",Input!$B$5," PAY ",TEXT(Input!$B$7,"DD/MM/YY"))</f>
        <v>VIC FN PAY 21/02/24</v>
      </c>
      <c r="S294" s="5">
        <f>'Journal - Main'!B294</f>
        <v>0</v>
      </c>
      <c r="W294" s="5" t="str">
        <f t="shared" si="13"/>
        <v xml:space="preserve"> </v>
      </c>
    </row>
    <row r="295" spans="1:23" x14ac:dyDescent="0.3">
      <c r="A295" s="3">
        <f t="shared" si="11"/>
        <v>294</v>
      </c>
      <c r="B295" s="4" t="s">
        <v>100</v>
      </c>
      <c r="C295" s="3">
        <f>IF(AND(ISNUMBER(MATCH('Journal - Main'!$E295,Lookups!$K$5:$K$16,0))=FALSE,OR(MID('Journal - Main'!N295,4,1)="C",MID('Journal - Main'!N295,4,1)="D")),LEFT('Journal - Main'!N295,2),Input!$B$6)</f>
        <v>20</v>
      </c>
      <c r="E295" s="32" t="s">
        <v>102</v>
      </c>
      <c r="H295" s="5" t="str">
        <f>IF(D295="",CONCATENATE(C295,'Journal - Main'!D295),"")</f>
        <v>20</v>
      </c>
      <c r="K295" s="12">
        <f>ROUND(_xlfn.NUMBERVALUE('Journal - Main'!G295),2)</f>
        <v>0</v>
      </c>
      <c r="L295" s="6"/>
      <c r="M295" s="6"/>
      <c r="N295" s="6"/>
      <c r="O295" s="6"/>
      <c r="P295" s="6"/>
      <c r="Q295" s="6"/>
      <c r="R295" s="5" t="str">
        <f>CONCATENATE(Input!$B$4," ",Input!$B$5," PAY ",TEXT(Input!$B$7,"DD/MM/YY"))</f>
        <v>VIC FN PAY 21/02/24</v>
      </c>
      <c r="S295" s="5">
        <f>'Journal - Main'!B295</f>
        <v>0</v>
      </c>
      <c r="W295" s="5" t="str">
        <f t="shared" si="13"/>
        <v xml:space="preserve"> </v>
      </c>
    </row>
    <row r="296" spans="1:23" x14ac:dyDescent="0.3">
      <c r="A296" s="3">
        <f t="shared" si="11"/>
        <v>295</v>
      </c>
      <c r="B296" s="4" t="s">
        <v>100</v>
      </c>
      <c r="C296" s="3">
        <f>IF(AND(ISNUMBER(MATCH('Journal - Main'!$E296,Lookups!$K$5:$K$16,0))=FALSE,OR(MID('Journal - Main'!N296,4,1)="C",MID('Journal - Main'!N296,4,1)="D")),LEFT('Journal - Main'!N296,2),Input!$B$6)</f>
        <v>20</v>
      </c>
      <c r="E296" s="32" t="s">
        <v>102</v>
      </c>
      <c r="H296" s="5" t="str">
        <f>IF(D296="",CONCATENATE(C296,'Journal - Main'!D296),"")</f>
        <v>20</v>
      </c>
      <c r="K296" s="12">
        <f>ROUND(_xlfn.NUMBERVALUE('Journal - Main'!G296),2)</f>
        <v>0</v>
      </c>
      <c r="L296" s="6"/>
      <c r="M296" s="6"/>
      <c r="N296" s="6"/>
      <c r="O296" s="6"/>
      <c r="P296" s="6"/>
      <c r="Q296" s="6"/>
      <c r="R296" s="5" t="str">
        <f>CONCATENATE(Input!$B$4," ",Input!$B$5," PAY ",TEXT(Input!$B$7,"DD/MM/YY"))</f>
        <v>VIC FN PAY 21/02/24</v>
      </c>
      <c r="S296" s="5">
        <f>'Journal - Main'!B296</f>
        <v>0</v>
      </c>
      <c r="W296" s="5" t="str">
        <f t="shared" si="13"/>
        <v xml:space="preserve"> </v>
      </c>
    </row>
    <row r="297" spans="1:23" x14ac:dyDescent="0.3">
      <c r="A297" s="3">
        <f t="shared" si="11"/>
        <v>296</v>
      </c>
      <c r="B297" s="4" t="s">
        <v>100</v>
      </c>
      <c r="C297" s="3">
        <f>IF(AND(ISNUMBER(MATCH('Journal - Main'!$E297,Lookups!$K$5:$K$16,0))=FALSE,OR(MID('Journal - Main'!N297,4,1)="C",MID('Journal - Main'!N297,4,1)="D")),LEFT('Journal - Main'!N297,2),Input!$B$6)</f>
        <v>20</v>
      </c>
      <c r="E297" s="32" t="s">
        <v>102</v>
      </c>
      <c r="H297" s="5" t="str">
        <f>IF(D297="",CONCATENATE(C297,'Journal - Main'!D297),"")</f>
        <v>20</v>
      </c>
      <c r="K297" s="12">
        <f>ROUND(_xlfn.NUMBERVALUE('Journal - Main'!G297),2)</f>
        <v>0</v>
      </c>
      <c r="L297" s="6"/>
      <c r="M297" s="6"/>
      <c r="N297" s="6"/>
      <c r="O297" s="6"/>
      <c r="P297" s="6"/>
      <c r="Q297" s="6"/>
      <c r="R297" s="5" t="str">
        <f>CONCATENATE(Input!$B$4," ",Input!$B$5," PAY ",TEXT(Input!$B$7,"DD/MM/YY"))</f>
        <v>VIC FN PAY 21/02/24</v>
      </c>
      <c r="S297" s="5">
        <f>'Journal - Main'!B297</f>
        <v>0</v>
      </c>
      <c r="W297" s="5" t="str">
        <f t="shared" si="13"/>
        <v xml:space="preserve"> </v>
      </c>
    </row>
    <row r="298" spans="1:23" x14ac:dyDescent="0.3">
      <c r="A298" s="3">
        <f t="shared" si="11"/>
        <v>297</v>
      </c>
      <c r="B298" s="4" t="s">
        <v>100</v>
      </c>
      <c r="C298" s="3">
        <f>IF(AND(ISNUMBER(MATCH('Journal - Main'!$E298,Lookups!$K$5:$K$16,0))=FALSE,OR(MID('Journal - Main'!N298,4,1)="C",MID('Journal - Main'!N298,4,1)="D")),LEFT('Journal - Main'!N298,2),Input!$B$6)</f>
        <v>20</v>
      </c>
      <c r="E298" s="32" t="s">
        <v>102</v>
      </c>
      <c r="H298" s="5" t="str">
        <f>IF(D298="",CONCATENATE(C298,'Journal - Main'!D298),"")</f>
        <v>20</v>
      </c>
      <c r="K298" s="12">
        <f>ROUND(_xlfn.NUMBERVALUE('Journal - Main'!G298),2)</f>
        <v>0</v>
      </c>
      <c r="L298" s="6"/>
      <c r="M298" s="6"/>
      <c r="N298" s="6"/>
      <c r="O298" s="6"/>
      <c r="P298" s="6"/>
      <c r="Q298" s="6"/>
      <c r="R298" s="5" t="str">
        <f>CONCATENATE(Input!$B$4," ",Input!$B$5," PAY ",TEXT(Input!$B$7,"DD/MM/YY"))</f>
        <v>VIC FN PAY 21/02/24</v>
      </c>
      <c r="S298" s="5">
        <f>'Journal - Main'!B298</f>
        <v>0</v>
      </c>
      <c r="W298" s="5" t="str">
        <f t="shared" si="13"/>
        <v xml:space="preserve"> </v>
      </c>
    </row>
    <row r="299" spans="1:23" x14ac:dyDescent="0.3">
      <c r="A299" s="3">
        <f t="shared" si="11"/>
        <v>298</v>
      </c>
      <c r="B299" s="4" t="s">
        <v>100</v>
      </c>
      <c r="C299" s="3">
        <f>IF(AND(ISNUMBER(MATCH('Journal - Main'!$E299,Lookups!$K$5:$K$16,0))=FALSE,OR(MID('Journal - Main'!N299,4,1)="C",MID('Journal - Main'!N299,4,1)="D")),LEFT('Journal - Main'!N299,2),Input!$B$6)</f>
        <v>20</v>
      </c>
      <c r="E299" s="32" t="s">
        <v>102</v>
      </c>
      <c r="H299" s="5" t="str">
        <f>IF(D299="",CONCATENATE(C299,'Journal - Main'!D299),"")</f>
        <v>20</v>
      </c>
      <c r="K299" s="12">
        <f>ROUND(_xlfn.NUMBERVALUE('Journal - Main'!G299),2)</f>
        <v>0</v>
      </c>
      <c r="L299" s="6"/>
      <c r="M299" s="6"/>
      <c r="N299" s="6"/>
      <c r="O299" s="6"/>
      <c r="P299" s="6"/>
      <c r="Q299" s="6"/>
      <c r="R299" s="5" t="str">
        <f>CONCATENATE(Input!$B$4," ",Input!$B$5," PAY ",TEXT(Input!$B$7,"DD/MM/YY"))</f>
        <v>VIC FN PAY 21/02/24</v>
      </c>
      <c r="S299" s="5">
        <f>'Journal - Main'!B299</f>
        <v>0</v>
      </c>
      <c r="W299" s="5" t="str">
        <f t="shared" si="13"/>
        <v xml:space="preserve"> </v>
      </c>
    </row>
    <row r="300" spans="1:23" x14ac:dyDescent="0.3">
      <c r="A300" s="3">
        <f t="shared" si="11"/>
        <v>299</v>
      </c>
      <c r="B300" s="4" t="s">
        <v>100</v>
      </c>
      <c r="C300" s="3">
        <f>IF(AND(ISNUMBER(MATCH('Journal - Main'!$E300,Lookups!$K$5:$K$16,0))=FALSE,OR(MID('Journal - Main'!N300,4,1)="C",MID('Journal - Main'!N300,4,1)="D")),LEFT('Journal - Main'!N300,2),Input!$B$6)</f>
        <v>20</v>
      </c>
      <c r="E300" s="32" t="s">
        <v>102</v>
      </c>
      <c r="H300" s="5" t="str">
        <f>IF(D300="",CONCATENATE(C300,'Journal - Main'!D300),"")</f>
        <v>20</v>
      </c>
      <c r="K300" s="12">
        <f>ROUND(_xlfn.NUMBERVALUE('Journal - Main'!G300),2)</f>
        <v>0</v>
      </c>
      <c r="L300" s="6"/>
      <c r="M300" s="6"/>
      <c r="N300" s="6"/>
      <c r="O300" s="6"/>
      <c r="P300" s="6"/>
      <c r="Q300" s="6"/>
      <c r="R300" s="5" t="str">
        <f>CONCATENATE(Input!$B$4," ",Input!$B$5," PAY ",TEXT(Input!$B$7,"DD/MM/YY"))</f>
        <v>VIC FN PAY 21/02/24</v>
      </c>
      <c r="S300" s="5">
        <f>'Journal - Main'!B300</f>
        <v>0</v>
      </c>
      <c r="W300" s="5" t="str">
        <f t="shared" si="13"/>
        <v xml:space="preserve"> </v>
      </c>
    </row>
    <row r="301" spans="1:23" x14ac:dyDescent="0.3">
      <c r="A301" s="3">
        <f t="shared" si="11"/>
        <v>300</v>
      </c>
      <c r="B301" s="4" t="s">
        <v>100</v>
      </c>
      <c r="C301" s="3">
        <f>IF(AND(ISNUMBER(MATCH('Journal - Main'!$E301,Lookups!$K$5:$K$16,0))=FALSE,OR(MID('Journal - Main'!N301,4,1)="C",MID('Journal - Main'!N301,4,1)="D")),LEFT('Journal - Main'!N301,2),Input!$B$6)</f>
        <v>20</v>
      </c>
      <c r="E301" s="32" t="s">
        <v>102</v>
      </c>
      <c r="H301" s="5" t="str">
        <f>IF(D301="",CONCATENATE(C301,'Journal - Main'!D301),"")</f>
        <v>20</v>
      </c>
      <c r="K301" s="12">
        <f>ROUND(_xlfn.NUMBERVALUE('Journal - Main'!G301),2)</f>
        <v>0</v>
      </c>
      <c r="L301" s="6"/>
      <c r="M301" s="6"/>
      <c r="N301" s="6"/>
      <c r="O301" s="6"/>
      <c r="P301" s="6"/>
      <c r="Q301" s="6"/>
      <c r="R301" s="5" t="str">
        <f>CONCATENATE(Input!$B$4," ",Input!$B$5," PAY ",TEXT(Input!$B$7,"DD/MM/YY"))</f>
        <v>VIC FN PAY 21/02/24</v>
      </c>
      <c r="S301" s="5">
        <f>'Journal - Main'!B301</f>
        <v>0</v>
      </c>
      <c r="W301" s="5" t="str">
        <f t="shared" si="13"/>
        <v xml:space="preserve"> </v>
      </c>
    </row>
    <row r="302" spans="1:23" x14ac:dyDescent="0.3">
      <c r="A302" s="3">
        <f t="shared" si="11"/>
        <v>301</v>
      </c>
      <c r="B302" s="4" t="s">
        <v>100</v>
      </c>
      <c r="C302" s="3">
        <f>IF(AND(ISNUMBER(MATCH('Journal - Main'!$E302,Lookups!$K$5:$K$16,0))=FALSE,OR(MID('Journal - Main'!N302,4,1)="C",MID('Journal - Main'!N302,4,1)="D")),LEFT('Journal - Main'!N302,2),Input!$B$6)</f>
        <v>20</v>
      </c>
      <c r="E302" s="32" t="s">
        <v>102</v>
      </c>
      <c r="H302" s="5" t="str">
        <f>IF(D302="",CONCATENATE(C302,'Journal - Main'!D302),"")</f>
        <v>20</v>
      </c>
      <c r="K302" s="12">
        <f>ROUND(_xlfn.NUMBERVALUE('Journal - Main'!G302),2)</f>
        <v>0</v>
      </c>
      <c r="L302" s="6"/>
      <c r="M302" s="6"/>
      <c r="N302" s="6"/>
      <c r="O302" s="6"/>
      <c r="P302" s="6"/>
      <c r="Q302" s="6"/>
      <c r="R302" s="5" t="str">
        <f>CONCATENATE(Input!$B$4," ",Input!$B$5," PAY ",TEXT(Input!$B$7,"DD/MM/YY"))</f>
        <v>VIC FN PAY 21/02/24</v>
      </c>
      <c r="S302" s="5">
        <f>'Journal - Main'!B302</f>
        <v>0</v>
      </c>
      <c r="W302" s="5" t="str">
        <f t="shared" si="13"/>
        <v xml:space="preserve"> </v>
      </c>
    </row>
    <row r="303" spans="1:23" x14ac:dyDescent="0.3">
      <c r="A303" s="3">
        <f t="shared" si="11"/>
        <v>302</v>
      </c>
      <c r="B303" s="4" t="s">
        <v>100</v>
      </c>
      <c r="C303" s="3">
        <f>IF(AND(ISNUMBER(MATCH('Journal - Main'!$E303,Lookups!$K$5:$K$16,0))=FALSE,OR(MID('Journal - Main'!N303,4,1)="C",MID('Journal - Main'!N303,4,1)="D")),LEFT('Journal - Main'!N303,2),Input!$B$6)</f>
        <v>20</v>
      </c>
      <c r="E303" s="32" t="s">
        <v>102</v>
      </c>
      <c r="H303" s="5" t="str">
        <f>IF(D303="",CONCATENATE(C303,'Journal - Main'!D303),"")</f>
        <v>20</v>
      </c>
      <c r="K303" s="12">
        <f>ROUND(_xlfn.NUMBERVALUE('Journal - Main'!G303),2)</f>
        <v>0</v>
      </c>
      <c r="L303" s="6"/>
      <c r="M303" s="6"/>
      <c r="N303" s="6"/>
      <c r="O303" s="6"/>
      <c r="P303" s="6"/>
      <c r="Q303" s="6"/>
      <c r="R303" s="5" t="str">
        <f>CONCATENATE(Input!$B$4," ",Input!$B$5," PAY ",TEXT(Input!$B$7,"DD/MM/YY"))</f>
        <v>VIC FN PAY 21/02/24</v>
      </c>
      <c r="S303" s="5">
        <f>'Journal - Main'!B303</f>
        <v>0</v>
      </c>
      <c r="W303" s="5" t="str">
        <f t="shared" si="13"/>
        <v xml:space="preserve"> </v>
      </c>
    </row>
    <row r="304" spans="1:23" x14ac:dyDescent="0.3">
      <c r="A304" s="3">
        <f t="shared" si="11"/>
        <v>303</v>
      </c>
      <c r="B304" s="4" t="s">
        <v>100</v>
      </c>
      <c r="C304" s="3">
        <f>IF(AND(ISNUMBER(MATCH('Journal - Main'!$E304,Lookups!$K$5:$K$16,0))=FALSE,OR(MID('Journal - Main'!N304,4,1)="C",MID('Journal - Main'!N304,4,1)="D")),LEFT('Journal - Main'!N304,2),Input!$B$6)</f>
        <v>20</v>
      </c>
      <c r="E304" s="32" t="s">
        <v>102</v>
      </c>
      <c r="H304" s="5" t="str">
        <f>IF(D304="",CONCATENATE(C304,'Journal - Main'!D304),"")</f>
        <v>20</v>
      </c>
      <c r="K304" s="12">
        <f>ROUND(_xlfn.NUMBERVALUE('Journal - Main'!G304),2)</f>
        <v>0</v>
      </c>
      <c r="L304" s="6"/>
      <c r="M304" s="6"/>
      <c r="N304" s="6"/>
      <c r="O304" s="6"/>
      <c r="P304" s="6"/>
      <c r="Q304" s="6"/>
      <c r="R304" s="5" t="str">
        <f>CONCATENATE(Input!$B$4," ",Input!$B$5," PAY ",TEXT(Input!$B$7,"DD/MM/YY"))</f>
        <v>VIC FN PAY 21/02/24</v>
      </c>
      <c r="S304" s="5">
        <f>'Journal - Main'!B304</f>
        <v>0</v>
      </c>
      <c r="W304" s="5" t="str">
        <f t="shared" si="13"/>
        <v xml:space="preserve"> </v>
      </c>
    </row>
    <row r="305" spans="1:23" x14ac:dyDescent="0.3">
      <c r="A305" s="3">
        <f t="shared" si="11"/>
        <v>304</v>
      </c>
      <c r="B305" s="4" t="s">
        <v>100</v>
      </c>
      <c r="C305" s="3">
        <f>IF(AND(ISNUMBER(MATCH('Journal - Main'!$E305,Lookups!$K$5:$K$16,0))=FALSE,OR(MID('Journal - Main'!N305,4,1)="C",MID('Journal - Main'!N305,4,1)="D")),LEFT('Journal - Main'!N305,2),Input!$B$6)</f>
        <v>20</v>
      </c>
      <c r="E305" s="32" t="s">
        <v>102</v>
      </c>
      <c r="H305" s="5" t="str">
        <f>IF(D305="",CONCATENATE(C305,'Journal - Main'!D305),"")</f>
        <v>20</v>
      </c>
      <c r="K305" s="12">
        <f>ROUND(_xlfn.NUMBERVALUE('Journal - Main'!G305),2)</f>
        <v>0</v>
      </c>
      <c r="L305" s="6"/>
      <c r="M305" s="6"/>
      <c r="N305" s="6"/>
      <c r="O305" s="6"/>
      <c r="P305" s="6"/>
      <c r="Q305" s="6"/>
      <c r="R305" s="5" t="str">
        <f>CONCATENATE(Input!$B$4," ",Input!$B$5," PAY ",TEXT(Input!$B$7,"DD/MM/YY"))</f>
        <v>VIC FN PAY 21/02/24</v>
      </c>
      <c r="S305" s="5">
        <f>'Journal - Main'!B305</f>
        <v>0</v>
      </c>
      <c r="W305" s="5" t="str">
        <f t="shared" si="13"/>
        <v xml:space="preserve"> </v>
      </c>
    </row>
    <row r="306" spans="1:23" x14ac:dyDescent="0.3">
      <c r="A306" s="3">
        <f t="shared" si="11"/>
        <v>305</v>
      </c>
      <c r="B306" s="4" t="s">
        <v>100</v>
      </c>
      <c r="C306" s="3">
        <f>IF(AND(ISNUMBER(MATCH('Journal - Main'!$E306,Lookups!$K$5:$K$16,0))=FALSE,OR(MID('Journal - Main'!N306,4,1)="C",MID('Journal - Main'!N306,4,1)="D")),LEFT('Journal - Main'!N306,2),Input!$B$6)</f>
        <v>20</v>
      </c>
      <c r="E306" s="32" t="s">
        <v>102</v>
      </c>
      <c r="H306" s="5" t="str">
        <f>IF(D306="",CONCATENATE(C306,'Journal - Main'!D306),"")</f>
        <v>20</v>
      </c>
      <c r="K306" s="12">
        <f>ROUND(_xlfn.NUMBERVALUE('Journal - Main'!G306),2)</f>
        <v>0</v>
      </c>
      <c r="L306" s="6"/>
      <c r="M306" s="6"/>
      <c r="N306" s="6"/>
      <c r="O306" s="6"/>
      <c r="P306" s="6"/>
      <c r="Q306" s="6"/>
      <c r="R306" s="5" t="str">
        <f>CONCATENATE(Input!$B$4," ",Input!$B$5," PAY ",TEXT(Input!$B$7,"DD/MM/YY"))</f>
        <v>VIC FN PAY 21/02/24</v>
      </c>
      <c r="S306" s="5">
        <f>'Journal - Main'!B306</f>
        <v>0</v>
      </c>
      <c r="W306" s="5" t="str">
        <f t="shared" si="13"/>
        <v xml:space="preserve"> </v>
      </c>
    </row>
    <row r="307" spans="1:23" x14ac:dyDescent="0.3">
      <c r="A307" s="3">
        <f t="shared" si="11"/>
        <v>306</v>
      </c>
      <c r="B307" s="4" t="s">
        <v>100</v>
      </c>
      <c r="C307" s="3">
        <f>IF(AND(ISNUMBER(MATCH('Journal - Main'!$E307,Lookups!$K$5:$K$16,0))=FALSE,OR(MID('Journal - Main'!N307,4,1)="C",MID('Journal - Main'!N307,4,1)="D")),LEFT('Journal - Main'!N307,2),Input!$B$6)</f>
        <v>20</v>
      </c>
      <c r="E307" s="32" t="s">
        <v>102</v>
      </c>
      <c r="H307" s="5" t="str">
        <f>IF(D307="",CONCATENATE(C307,'Journal - Main'!D307),"")</f>
        <v>20</v>
      </c>
      <c r="K307" s="12">
        <f>ROUND(_xlfn.NUMBERVALUE('Journal - Main'!G307),2)</f>
        <v>0</v>
      </c>
      <c r="L307" s="6"/>
      <c r="M307" s="6"/>
      <c r="N307" s="6"/>
      <c r="O307" s="6"/>
      <c r="P307" s="6"/>
      <c r="Q307" s="6"/>
      <c r="R307" s="5" t="str">
        <f>CONCATENATE(Input!$B$4," ",Input!$B$5," PAY ",TEXT(Input!$B$7,"DD/MM/YY"))</f>
        <v>VIC FN PAY 21/02/24</v>
      </c>
      <c r="S307" s="5">
        <f>'Journal - Main'!B307</f>
        <v>0</v>
      </c>
      <c r="W307" s="5" t="str">
        <f t="shared" si="13"/>
        <v xml:space="preserve"> </v>
      </c>
    </row>
    <row r="308" spans="1:23" x14ac:dyDescent="0.3">
      <c r="A308" s="3">
        <f t="shared" si="11"/>
        <v>307</v>
      </c>
      <c r="B308" s="4" t="s">
        <v>100</v>
      </c>
      <c r="C308" s="3">
        <f>IF(AND(ISNUMBER(MATCH('Journal - Main'!$E308,Lookups!$K$5:$K$16,0))=FALSE,OR(MID('Journal - Main'!N308,4,1)="C",MID('Journal - Main'!N308,4,1)="D")),LEFT('Journal - Main'!N308,2),Input!$B$6)</f>
        <v>20</v>
      </c>
      <c r="E308" s="32" t="s">
        <v>102</v>
      </c>
      <c r="H308" s="5" t="str">
        <f>IF(D308="",CONCATENATE(C308,'Journal - Main'!D308),"")</f>
        <v>20</v>
      </c>
      <c r="K308" s="12">
        <f>ROUND(_xlfn.NUMBERVALUE('Journal - Main'!G308),2)</f>
        <v>0</v>
      </c>
      <c r="L308" s="6"/>
      <c r="M308" s="6"/>
      <c r="N308" s="6"/>
      <c r="O308" s="6"/>
      <c r="P308" s="6"/>
      <c r="Q308" s="6"/>
      <c r="R308" s="5" t="str">
        <f>CONCATENATE(Input!$B$4," ",Input!$B$5," PAY ",TEXT(Input!$B$7,"DD/MM/YY"))</f>
        <v>VIC FN PAY 21/02/24</v>
      </c>
      <c r="S308" s="5">
        <f>'Journal - Main'!B308</f>
        <v>0</v>
      </c>
      <c r="W308" s="5" t="str">
        <f t="shared" si="13"/>
        <v xml:space="preserve"> </v>
      </c>
    </row>
    <row r="309" spans="1:23" x14ac:dyDescent="0.3">
      <c r="A309" s="3">
        <f t="shared" si="11"/>
        <v>308</v>
      </c>
      <c r="B309" s="4" t="s">
        <v>100</v>
      </c>
      <c r="C309" s="3">
        <f>IF(AND(ISNUMBER(MATCH('Journal - Main'!$E309,Lookups!$K$5:$K$16,0))=FALSE,OR(MID('Journal - Main'!N309,4,1)="C",MID('Journal - Main'!N309,4,1)="D")),LEFT('Journal - Main'!N309,2),Input!$B$6)</f>
        <v>20</v>
      </c>
      <c r="E309" s="32" t="s">
        <v>102</v>
      </c>
      <c r="H309" s="5" t="str">
        <f>IF(D309="",CONCATENATE(C309,'Journal - Main'!D309),"")</f>
        <v>20</v>
      </c>
      <c r="K309" s="12">
        <f>ROUND(_xlfn.NUMBERVALUE('Journal - Main'!G309),2)</f>
        <v>0</v>
      </c>
      <c r="L309" s="6"/>
      <c r="M309" s="6"/>
      <c r="N309" s="6"/>
      <c r="O309" s="6"/>
      <c r="P309" s="6"/>
      <c r="Q309" s="6"/>
      <c r="R309" s="5" t="str">
        <f>CONCATENATE(Input!$B$4," ",Input!$B$5," PAY ",TEXT(Input!$B$7,"DD/MM/YY"))</f>
        <v>VIC FN PAY 21/02/24</v>
      </c>
      <c r="S309" s="5">
        <f>'Journal - Main'!B309</f>
        <v>0</v>
      </c>
      <c r="W309" s="5" t="str">
        <f t="shared" si="13"/>
        <v xml:space="preserve"> </v>
      </c>
    </row>
    <row r="310" spans="1:23" x14ac:dyDescent="0.3">
      <c r="A310" s="3">
        <f t="shared" si="11"/>
        <v>309</v>
      </c>
      <c r="B310" s="4" t="s">
        <v>100</v>
      </c>
      <c r="C310" s="3">
        <f>IF(AND(ISNUMBER(MATCH('Journal - Main'!$E310,Lookups!$K$5:$K$16,0))=FALSE,OR(MID('Journal - Main'!N310,4,1)="C",MID('Journal - Main'!N310,4,1)="D")),LEFT('Journal - Main'!N310,2),Input!$B$6)</f>
        <v>20</v>
      </c>
      <c r="E310" s="32" t="s">
        <v>102</v>
      </c>
      <c r="H310" s="5" t="str">
        <f>IF(D310="",CONCATENATE(C310,'Journal - Main'!D310),"")</f>
        <v>20</v>
      </c>
      <c r="K310" s="12">
        <f>ROUND(_xlfn.NUMBERVALUE('Journal - Main'!G310),2)</f>
        <v>0</v>
      </c>
      <c r="L310" s="6"/>
      <c r="M310" s="6"/>
      <c r="N310" s="6"/>
      <c r="O310" s="6"/>
      <c r="P310" s="6"/>
      <c r="Q310" s="6"/>
      <c r="R310" s="5" t="str">
        <f>CONCATENATE(Input!$B$4," ",Input!$B$5," PAY ",TEXT(Input!$B$7,"DD/MM/YY"))</f>
        <v>VIC FN PAY 21/02/24</v>
      </c>
      <c r="S310" s="5">
        <f>'Journal - Main'!B310</f>
        <v>0</v>
      </c>
      <c r="W310" s="5" t="str">
        <f t="shared" si="13"/>
        <v xml:space="preserve"> </v>
      </c>
    </row>
    <row r="311" spans="1:23" x14ac:dyDescent="0.3">
      <c r="A311" s="3">
        <f t="shared" si="11"/>
        <v>310</v>
      </c>
      <c r="B311" s="4" t="s">
        <v>100</v>
      </c>
      <c r="C311" s="3">
        <f>IF(AND(ISNUMBER(MATCH('Journal - Main'!$E311,Lookups!$K$5:$K$16,0))=FALSE,OR(MID('Journal - Main'!N311,4,1)="C",MID('Journal - Main'!N311,4,1)="D")),LEFT('Journal - Main'!N311,2),Input!$B$6)</f>
        <v>20</v>
      </c>
      <c r="E311" s="32" t="s">
        <v>102</v>
      </c>
      <c r="H311" s="5" t="str">
        <f>IF(D311="",CONCATENATE(C311,'Journal - Main'!D311),"")</f>
        <v>20</v>
      </c>
      <c r="K311" s="12">
        <f>ROUND(_xlfn.NUMBERVALUE('Journal - Main'!G311),2)</f>
        <v>0</v>
      </c>
      <c r="L311" s="6"/>
      <c r="M311" s="6"/>
      <c r="N311" s="6"/>
      <c r="O311" s="6"/>
      <c r="P311" s="6"/>
      <c r="Q311" s="6"/>
      <c r="R311" s="5" t="str">
        <f>CONCATENATE(Input!$B$4," ",Input!$B$5," PAY ",TEXT(Input!$B$7,"DD/MM/YY"))</f>
        <v>VIC FN PAY 21/02/24</v>
      </c>
      <c r="S311" s="5">
        <f>'Journal - Main'!B311</f>
        <v>0</v>
      </c>
      <c r="W311" s="5" t="str">
        <f t="shared" si="13"/>
        <v xml:space="preserve"> </v>
      </c>
    </row>
    <row r="312" spans="1:23" x14ac:dyDescent="0.3">
      <c r="A312" s="3">
        <f t="shared" si="11"/>
        <v>311</v>
      </c>
      <c r="B312" s="4" t="s">
        <v>100</v>
      </c>
      <c r="C312" s="3">
        <f>IF(AND(ISNUMBER(MATCH('Journal - Main'!$E312,Lookups!$K$5:$K$16,0))=FALSE,OR(MID('Journal - Main'!N312,4,1)="C",MID('Journal - Main'!N312,4,1)="D")),LEFT('Journal - Main'!N312,2),Input!$B$6)</f>
        <v>20</v>
      </c>
      <c r="E312" s="32" t="s">
        <v>102</v>
      </c>
      <c r="H312" s="5" t="str">
        <f>IF(D312="",CONCATENATE(C312,'Journal - Main'!D312),"")</f>
        <v>20</v>
      </c>
      <c r="K312" s="12">
        <f>ROUND(_xlfn.NUMBERVALUE('Journal - Main'!G312),2)</f>
        <v>0</v>
      </c>
      <c r="L312" s="6"/>
      <c r="M312" s="6"/>
      <c r="N312" s="6"/>
      <c r="O312" s="6"/>
      <c r="P312" s="6"/>
      <c r="Q312" s="6"/>
      <c r="R312" s="5" t="str">
        <f>CONCATENATE(Input!$B$4," ",Input!$B$5," PAY ",TEXT(Input!$B$7,"DD/MM/YY"))</f>
        <v>VIC FN PAY 21/02/24</v>
      </c>
      <c r="S312" s="5">
        <f>'Journal - Main'!B312</f>
        <v>0</v>
      </c>
      <c r="W312" s="5" t="str">
        <f t="shared" si="13"/>
        <v xml:space="preserve"> </v>
      </c>
    </row>
    <row r="313" spans="1:23" x14ac:dyDescent="0.3">
      <c r="A313" s="3">
        <f t="shared" si="11"/>
        <v>312</v>
      </c>
      <c r="B313" s="4" t="s">
        <v>100</v>
      </c>
      <c r="C313" s="3">
        <f>IF(AND(ISNUMBER(MATCH('Journal - Main'!$E313,Lookups!$K$5:$K$16,0))=FALSE,OR(MID('Journal - Main'!N313,4,1)="C",MID('Journal - Main'!N313,4,1)="D")),LEFT('Journal - Main'!N313,2),Input!$B$6)</f>
        <v>20</v>
      </c>
      <c r="E313" s="32" t="s">
        <v>102</v>
      </c>
      <c r="H313" s="5" t="str">
        <f>IF(D313="",CONCATENATE(C313,'Journal - Main'!D313),"")</f>
        <v>20</v>
      </c>
      <c r="K313" s="12">
        <f>ROUND(_xlfn.NUMBERVALUE('Journal - Main'!G313),2)</f>
        <v>0</v>
      </c>
      <c r="L313" s="6"/>
      <c r="M313" s="6"/>
      <c r="N313" s="6"/>
      <c r="O313" s="6"/>
      <c r="P313" s="6"/>
      <c r="Q313" s="6"/>
      <c r="R313" s="5" t="str">
        <f>CONCATENATE(Input!$B$4," ",Input!$B$5," PAY ",TEXT(Input!$B$7,"DD/MM/YY"))</f>
        <v>VIC FN PAY 21/02/24</v>
      </c>
      <c r="S313" s="5">
        <f>'Journal - Main'!B313</f>
        <v>0</v>
      </c>
      <c r="W313" s="5" t="str">
        <f t="shared" si="13"/>
        <v xml:space="preserve"> </v>
      </c>
    </row>
    <row r="314" spans="1:23" x14ac:dyDescent="0.3">
      <c r="A314" s="3">
        <f t="shared" si="11"/>
        <v>313</v>
      </c>
      <c r="B314" s="4" t="s">
        <v>100</v>
      </c>
      <c r="C314" s="3">
        <f>IF(AND(ISNUMBER(MATCH('Journal - Main'!$E314,Lookups!$K$5:$K$16,0))=FALSE,OR(MID('Journal - Main'!N314,4,1)="C",MID('Journal - Main'!N314,4,1)="D")),LEFT('Journal - Main'!N314,2),Input!$B$6)</f>
        <v>20</v>
      </c>
      <c r="E314" s="32" t="s">
        <v>102</v>
      </c>
      <c r="H314" s="5" t="str">
        <f>IF(D314="",CONCATENATE(C314,'Journal - Main'!D314),"")</f>
        <v>20</v>
      </c>
      <c r="K314" s="12">
        <f>ROUND(_xlfn.NUMBERVALUE('Journal - Main'!G314),2)</f>
        <v>0</v>
      </c>
      <c r="L314" s="6"/>
      <c r="M314" s="6"/>
      <c r="N314" s="6"/>
      <c r="O314" s="6"/>
      <c r="P314" s="6"/>
      <c r="Q314" s="6"/>
      <c r="R314" s="5" t="str">
        <f>CONCATENATE(Input!$B$4," ",Input!$B$5," PAY ",TEXT(Input!$B$7,"DD/MM/YY"))</f>
        <v>VIC FN PAY 21/02/24</v>
      </c>
      <c r="S314" s="5">
        <f>'Journal - Main'!B314</f>
        <v>0</v>
      </c>
      <c r="W314" s="5" t="str">
        <f t="shared" si="13"/>
        <v xml:space="preserve"> </v>
      </c>
    </row>
    <row r="315" spans="1:23" x14ac:dyDescent="0.3">
      <c r="A315" s="3">
        <f t="shared" si="11"/>
        <v>314</v>
      </c>
      <c r="B315" s="4" t="s">
        <v>100</v>
      </c>
      <c r="C315" s="3">
        <f>IF(AND(ISNUMBER(MATCH('Journal - Main'!$E315,Lookups!$K$5:$K$16,0))=FALSE,OR(MID('Journal - Main'!N315,4,1)="C",MID('Journal - Main'!N315,4,1)="D")),LEFT('Journal - Main'!N315,2),Input!$B$6)</f>
        <v>20</v>
      </c>
      <c r="E315" s="32" t="s">
        <v>102</v>
      </c>
      <c r="H315" s="5" t="str">
        <f>IF(D315="",CONCATENATE(C315,'Journal - Main'!D315),"")</f>
        <v>20</v>
      </c>
      <c r="K315" s="12">
        <f>ROUND(_xlfn.NUMBERVALUE('Journal - Main'!G315),2)</f>
        <v>0</v>
      </c>
      <c r="L315" s="6"/>
      <c r="M315" s="6"/>
      <c r="N315" s="6"/>
      <c r="O315" s="6"/>
      <c r="P315" s="6"/>
      <c r="Q315" s="6"/>
      <c r="R315" s="5" t="str">
        <f>CONCATENATE(Input!$B$4," ",Input!$B$5," PAY ",TEXT(Input!$B$7,"DD/MM/YY"))</f>
        <v>VIC FN PAY 21/02/24</v>
      </c>
      <c r="S315" s="5">
        <f>'Journal - Main'!B315</f>
        <v>0</v>
      </c>
      <c r="W315" s="5" t="str">
        <f t="shared" si="13"/>
        <v xml:space="preserve"> </v>
      </c>
    </row>
    <row r="316" spans="1:23" x14ac:dyDescent="0.3">
      <c r="A316" s="3">
        <f t="shared" si="11"/>
        <v>315</v>
      </c>
      <c r="B316" s="4" t="s">
        <v>100</v>
      </c>
      <c r="C316" s="3">
        <f>IF(AND(ISNUMBER(MATCH('Journal - Main'!$E316,Lookups!$K$5:$K$16,0))=FALSE,OR(MID('Journal - Main'!N316,4,1)="C",MID('Journal - Main'!N316,4,1)="D")),LEFT('Journal - Main'!N316,2),Input!$B$6)</f>
        <v>20</v>
      </c>
      <c r="E316" s="32" t="s">
        <v>102</v>
      </c>
      <c r="H316" s="5" t="str">
        <f>IF(D316="",CONCATENATE(C316,'Journal - Main'!D316),"")</f>
        <v>20</v>
      </c>
      <c r="K316" s="12">
        <f>ROUND(_xlfn.NUMBERVALUE('Journal - Main'!G316),2)</f>
        <v>0</v>
      </c>
      <c r="L316" s="6"/>
      <c r="M316" s="6"/>
      <c r="N316" s="6"/>
      <c r="O316" s="6"/>
      <c r="P316" s="6"/>
      <c r="Q316" s="6"/>
      <c r="R316" s="5" t="str">
        <f>CONCATENATE(Input!$B$4," ",Input!$B$5," PAY ",TEXT(Input!$B$7,"DD/MM/YY"))</f>
        <v>VIC FN PAY 21/02/24</v>
      </c>
      <c r="S316" s="5">
        <f>'Journal - Main'!B316</f>
        <v>0</v>
      </c>
      <c r="W316" s="5" t="str">
        <f t="shared" si="13"/>
        <v xml:space="preserve"> </v>
      </c>
    </row>
    <row r="317" spans="1:23" x14ac:dyDescent="0.3">
      <c r="A317" s="3">
        <f t="shared" si="11"/>
        <v>316</v>
      </c>
      <c r="B317" s="4" t="s">
        <v>100</v>
      </c>
      <c r="C317" s="3">
        <f>IF(AND(ISNUMBER(MATCH('Journal - Main'!$E317,Lookups!$K$5:$K$16,0))=FALSE,OR(MID('Journal - Main'!N317,4,1)="C",MID('Journal - Main'!N317,4,1)="D")),LEFT('Journal - Main'!N317,2),Input!$B$6)</f>
        <v>20</v>
      </c>
      <c r="E317" s="32" t="s">
        <v>102</v>
      </c>
      <c r="H317" s="5" t="str">
        <f>IF(D317="",CONCATENATE(C317,'Journal - Main'!D317),"")</f>
        <v>20</v>
      </c>
      <c r="K317" s="12">
        <f>ROUND(_xlfn.NUMBERVALUE('Journal - Main'!G317),2)</f>
        <v>0</v>
      </c>
      <c r="L317" s="6"/>
      <c r="M317" s="6"/>
      <c r="N317" s="6"/>
      <c r="O317" s="6"/>
      <c r="P317" s="6"/>
      <c r="Q317" s="6"/>
      <c r="R317" s="5" t="str">
        <f>CONCATENATE(Input!$B$4," ",Input!$B$5," PAY ",TEXT(Input!$B$7,"DD/MM/YY"))</f>
        <v>VIC FN PAY 21/02/24</v>
      </c>
      <c r="S317" s="5">
        <f>'Journal - Main'!B317</f>
        <v>0</v>
      </c>
      <c r="W317" s="5" t="str">
        <f t="shared" si="13"/>
        <v xml:space="preserve"> </v>
      </c>
    </row>
    <row r="318" spans="1:23" x14ac:dyDescent="0.3">
      <c r="A318" s="3">
        <f t="shared" si="11"/>
        <v>317</v>
      </c>
      <c r="B318" s="4" t="s">
        <v>100</v>
      </c>
      <c r="C318" s="3">
        <f>IF(AND(ISNUMBER(MATCH('Journal - Main'!$E318,Lookups!$K$5:$K$16,0))=FALSE,OR(MID('Journal - Main'!N318,4,1)="C",MID('Journal - Main'!N318,4,1)="D")),LEFT('Journal - Main'!N318,2),Input!$B$6)</f>
        <v>20</v>
      </c>
      <c r="E318" s="32" t="s">
        <v>102</v>
      </c>
      <c r="H318" s="5" t="str">
        <f>IF(D318="",CONCATENATE(C318,'Journal - Main'!D318),"")</f>
        <v>20</v>
      </c>
      <c r="K318" s="12">
        <f>ROUND(_xlfn.NUMBERVALUE('Journal - Main'!G318),2)</f>
        <v>0</v>
      </c>
      <c r="L318" s="6"/>
      <c r="M318" s="6"/>
      <c r="N318" s="6"/>
      <c r="O318" s="6"/>
      <c r="P318" s="6"/>
      <c r="Q318" s="6"/>
      <c r="R318" s="5" t="str">
        <f>CONCATENATE(Input!$B$4," ",Input!$B$5," PAY ",TEXT(Input!$B$7,"DD/MM/YY"))</f>
        <v>VIC FN PAY 21/02/24</v>
      </c>
      <c r="S318" s="5">
        <f>'Journal - Main'!B318</f>
        <v>0</v>
      </c>
      <c r="W318" s="5" t="str">
        <f t="shared" si="13"/>
        <v xml:space="preserve"> </v>
      </c>
    </row>
    <row r="319" spans="1:23" x14ac:dyDescent="0.3">
      <c r="A319" s="3">
        <f t="shared" si="11"/>
        <v>318</v>
      </c>
      <c r="B319" s="4" t="s">
        <v>100</v>
      </c>
      <c r="C319" s="3">
        <f>IF(AND(ISNUMBER(MATCH('Journal - Main'!$E319,Lookups!$K$5:$K$16,0))=FALSE,OR(MID('Journal - Main'!N319,4,1)="C",MID('Journal - Main'!N319,4,1)="D")),LEFT('Journal - Main'!N319,2),Input!$B$6)</f>
        <v>20</v>
      </c>
      <c r="E319" s="32" t="s">
        <v>102</v>
      </c>
      <c r="H319" s="5" t="str">
        <f>IF(D319="",CONCATENATE(C319,'Journal - Main'!D319),"")</f>
        <v>20</v>
      </c>
      <c r="K319" s="12">
        <f>ROUND(_xlfn.NUMBERVALUE('Journal - Main'!G319),2)</f>
        <v>0</v>
      </c>
      <c r="L319" s="6"/>
      <c r="M319" s="6"/>
      <c r="N319" s="6"/>
      <c r="O319" s="6"/>
      <c r="P319" s="6"/>
      <c r="Q319" s="6"/>
      <c r="R319" s="5" t="str">
        <f>CONCATENATE(Input!$B$4," ",Input!$B$5," PAY ",TEXT(Input!$B$7,"DD/MM/YY"))</f>
        <v>VIC FN PAY 21/02/24</v>
      </c>
      <c r="S319" s="5">
        <f>'Journal - Main'!B319</f>
        <v>0</v>
      </c>
      <c r="W319" s="5" t="str">
        <f t="shared" si="13"/>
        <v xml:space="preserve"> </v>
      </c>
    </row>
    <row r="320" spans="1:23" x14ac:dyDescent="0.3">
      <c r="A320" s="3">
        <f t="shared" si="11"/>
        <v>319</v>
      </c>
      <c r="B320" s="4" t="s">
        <v>100</v>
      </c>
      <c r="C320" s="3">
        <f>IF(AND(ISNUMBER(MATCH('Journal - Main'!$E320,Lookups!$K$5:$K$16,0))=FALSE,OR(MID('Journal - Main'!N320,4,1)="C",MID('Journal - Main'!N320,4,1)="D")),LEFT('Journal - Main'!N320,2),Input!$B$6)</f>
        <v>20</v>
      </c>
      <c r="E320" s="32" t="s">
        <v>102</v>
      </c>
      <c r="H320" s="5" t="str">
        <f>IF(D320="",CONCATENATE(C320,'Journal - Main'!D320),"")</f>
        <v>20</v>
      </c>
      <c r="K320" s="12">
        <f>ROUND(_xlfn.NUMBERVALUE('Journal - Main'!G320),2)</f>
        <v>0</v>
      </c>
      <c r="L320" s="6"/>
      <c r="M320" s="6"/>
      <c r="N320" s="6"/>
      <c r="O320" s="6"/>
      <c r="P320" s="6"/>
      <c r="Q320" s="6"/>
      <c r="R320" s="5" t="str">
        <f>CONCATENATE(Input!$B$4," ",Input!$B$5," PAY ",TEXT(Input!$B$7,"DD/MM/YY"))</f>
        <v>VIC FN PAY 21/02/24</v>
      </c>
      <c r="S320" s="5">
        <f>'Journal - Main'!B320</f>
        <v>0</v>
      </c>
      <c r="W320" s="5" t="str">
        <f t="shared" si="13"/>
        <v xml:space="preserve"> </v>
      </c>
    </row>
    <row r="321" spans="1:23" x14ac:dyDescent="0.3">
      <c r="A321" s="3">
        <f t="shared" si="11"/>
        <v>320</v>
      </c>
      <c r="B321" s="4" t="s">
        <v>100</v>
      </c>
      <c r="C321" s="3">
        <f>IF(AND(ISNUMBER(MATCH('Journal - Main'!$E321,Lookups!$K$5:$K$16,0))=FALSE,OR(MID('Journal - Main'!N321,4,1)="C",MID('Journal - Main'!N321,4,1)="D")),LEFT('Journal - Main'!N321,2),Input!$B$6)</f>
        <v>20</v>
      </c>
      <c r="E321" s="32" t="s">
        <v>102</v>
      </c>
      <c r="H321" s="5" t="str">
        <f>IF(D321="",CONCATENATE(C321,'Journal - Main'!D321),"")</f>
        <v>20</v>
      </c>
      <c r="K321" s="12">
        <f>ROUND(_xlfn.NUMBERVALUE('Journal - Main'!G321),2)</f>
        <v>0</v>
      </c>
      <c r="L321" s="6"/>
      <c r="M321" s="6"/>
      <c r="N321" s="6"/>
      <c r="O321" s="6"/>
      <c r="P321" s="6"/>
      <c r="Q321" s="6"/>
      <c r="R321" s="5" t="str">
        <f>CONCATENATE(Input!$B$4," ",Input!$B$5," PAY ",TEXT(Input!$B$7,"DD/MM/YY"))</f>
        <v>VIC FN PAY 21/02/24</v>
      </c>
      <c r="S321" s="5">
        <f>'Journal - Main'!B321</f>
        <v>0</v>
      </c>
      <c r="W321" s="5" t="str">
        <f t="shared" si="13"/>
        <v xml:space="preserve"> </v>
      </c>
    </row>
    <row r="322" spans="1:23" x14ac:dyDescent="0.3">
      <c r="A322" s="3">
        <f t="shared" si="11"/>
        <v>321</v>
      </c>
      <c r="B322" s="4" t="s">
        <v>100</v>
      </c>
      <c r="C322" s="3">
        <f>IF(AND(ISNUMBER(MATCH('Journal - Main'!$E322,Lookups!$K$5:$K$16,0))=FALSE,OR(MID('Journal - Main'!N322,4,1)="C",MID('Journal - Main'!N322,4,1)="D")),LEFT('Journal - Main'!N322,2),Input!$B$6)</f>
        <v>20</v>
      </c>
      <c r="E322" s="32" t="s">
        <v>102</v>
      </c>
      <c r="H322" s="5" t="str">
        <f>IF(D322="",CONCATENATE(C322,'Journal - Main'!D322),"")</f>
        <v>20</v>
      </c>
      <c r="K322" s="12">
        <f>ROUND(_xlfn.NUMBERVALUE('Journal - Main'!G322),2)</f>
        <v>0</v>
      </c>
      <c r="L322" s="6"/>
      <c r="M322" s="6"/>
      <c r="N322" s="6"/>
      <c r="O322" s="6"/>
      <c r="P322" s="6"/>
      <c r="Q322" s="6"/>
      <c r="R322" s="5" t="str">
        <f>CONCATENATE(Input!$B$4," ",Input!$B$5," PAY ",TEXT(Input!$B$7,"DD/MM/YY"))</f>
        <v>VIC FN PAY 21/02/24</v>
      </c>
      <c r="S322" s="5">
        <f>'Journal - Main'!B322</f>
        <v>0</v>
      </c>
      <c r="W322" s="5" t="str">
        <f t="shared" si="13"/>
        <v xml:space="preserve"> </v>
      </c>
    </row>
    <row r="323" spans="1:23" x14ac:dyDescent="0.3">
      <c r="A323" s="3">
        <f t="shared" si="11"/>
        <v>322</v>
      </c>
      <c r="B323" s="4" t="s">
        <v>100</v>
      </c>
      <c r="C323" s="3">
        <f>IF(AND(ISNUMBER(MATCH('Journal - Main'!$E323,Lookups!$K$5:$K$16,0))=FALSE,OR(MID('Journal - Main'!N323,4,1)="C",MID('Journal - Main'!N323,4,1)="D")),LEFT('Journal - Main'!N323,2),Input!$B$6)</f>
        <v>20</v>
      </c>
      <c r="E323" s="32" t="s">
        <v>102</v>
      </c>
      <c r="H323" s="5" t="str">
        <f>IF(D323="",CONCATENATE(C323,'Journal - Main'!D323),"")</f>
        <v>20</v>
      </c>
      <c r="K323" s="12">
        <f>ROUND(_xlfn.NUMBERVALUE('Journal - Main'!G323),2)</f>
        <v>0</v>
      </c>
      <c r="L323" s="6"/>
      <c r="M323" s="6"/>
      <c r="N323" s="6"/>
      <c r="O323" s="6"/>
      <c r="P323" s="6"/>
      <c r="Q323" s="6"/>
      <c r="R323" s="5" t="str">
        <f>CONCATENATE(Input!$B$4," ",Input!$B$5," PAY ",TEXT(Input!$B$7,"DD/MM/YY"))</f>
        <v>VIC FN PAY 21/02/24</v>
      </c>
      <c r="S323" s="5">
        <f>'Journal - Main'!B323</f>
        <v>0</v>
      </c>
      <c r="W323" s="5" t="str">
        <f t="shared" si="13"/>
        <v xml:space="preserve"> </v>
      </c>
    </row>
    <row r="324" spans="1:23" x14ac:dyDescent="0.3">
      <c r="A324" s="3">
        <f t="shared" ref="A324:A342" si="14">+A323+1</f>
        <v>323</v>
      </c>
      <c r="B324" s="4" t="s">
        <v>100</v>
      </c>
      <c r="C324" s="3">
        <f>IF(AND(ISNUMBER(MATCH('Journal - Main'!$E324,Lookups!$K$5:$K$16,0))=FALSE,OR(MID('Journal - Main'!N324,4,1)="C",MID('Journal - Main'!N324,4,1)="D")),LEFT('Journal - Main'!N324,2),Input!$B$6)</f>
        <v>20</v>
      </c>
      <c r="E324" s="32" t="s">
        <v>102</v>
      </c>
      <c r="H324" s="5" t="str">
        <f>IF(D324="",CONCATENATE(C324,'Journal - Main'!D324),"")</f>
        <v>20</v>
      </c>
      <c r="K324" s="12">
        <f>ROUND(_xlfn.NUMBERVALUE('Journal - Main'!G324),2)</f>
        <v>0</v>
      </c>
      <c r="L324" s="6"/>
      <c r="M324" s="6"/>
      <c r="N324" s="6"/>
      <c r="O324" s="6"/>
      <c r="P324" s="6"/>
      <c r="Q324" s="6"/>
      <c r="R324" s="5" t="str">
        <f>CONCATENATE(Input!$B$4," ",Input!$B$5," PAY ",TEXT(Input!$B$7,"DD/MM/YY"))</f>
        <v>VIC FN PAY 21/02/24</v>
      </c>
      <c r="S324" s="5">
        <f>'Journal - Main'!B324</f>
        <v>0</v>
      </c>
      <c r="W324" s="5" t="str">
        <f t="shared" si="13"/>
        <v xml:space="preserve"> </v>
      </c>
    </row>
    <row r="325" spans="1:23" x14ac:dyDescent="0.3">
      <c r="A325" s="3">
        <f t="shared" si="14"/>
        <v>324</v>
      </c>
      <c r="B325" s="4" t="s">
        <v>100</v>
      </c>
      <c r="C325" s="3">
        <f>IF(AND(ISNUMBER(MATCH('Journal - Main'!$E325,Lookups!$K$5:$K$16,0))=FALSE,OR(MID('Journal - Main'!N325,4,1)="C",MID('Journal - Main'!N325,4,1)="D")),LEFT('Journal - Main'!N325,2),Input!$B$6)</f>
        <v>20</v>
      </c>
      <c r="E325" s="32" t="s">
        <v>102</v>
      </c>
      <c r="H325" s="5" t="str">
        <f>IF(D325="",CONCATENATE(C325,'Journal - Main'!D325),"")</f>
        <v>20</v>
      </c>
      <c r="K325" s="12">
        <f>ROUND(_xlfn.NUMBERVALUE('Journal - Main'!G325),2)</f>
        <v>0</v>
      </c>
      <c r="L325" s="6"/>
      <c r="M325" s="6"/>
      <c r="N325" s="6"/>
      <c r="O325" s="6"/>
      <c r="P325" s="6"/>
      <c r="Q325" s="6"/>
      <c r="R325" s="5" t="str">
        <f>CONCATENATE(Input!$B$4," ",Input!$B$5," PAY ",TEXT(Input!$B$7,"DD/MM/YY"))</f>
        <v>VIC FN PAY 21/02/24</v>
      </c>
      <c r="S325" s="5">
        <f>'Journal - Main'!B325</f>
        <v>0</v>
      </c>
      <c r="W325" s="5" t="str">
        <f t="shared" si="13"/>
        <v xml:space="preserve"> </v>
      </c>
    </row>
    <row r="326" spans="1:23" x14ac:dyDescent="0.3">
      <c r="A326" s="3">
        <f t="shared" si="14"/>
        <v>325</v>
      </c>
      <c r="B326" s="4" t="s">
        <v>100</v>
      </c>
      <c r="C326" s="3">
        <f>IF(AND(ISNUMBER(MATCH('Journal - Main'!$E326,Lookups!$K$5:$K$16,0))=FALSE,OR(MID('Journal - Main'!N326,4,1)="C",MID('Journal - Main'!N326,4,1)="D")),LEFT('Journal - Main'!N326,2),Input!$B$6)</f>
        <v>20</v>
      </c>
      <c r="E326" s="32" t="s">
        <v>102</v>
      </c>
      <c r="H326" s="5" t="str">
        <f>IF(D326="",CONCATENATE(C326,'Journal - Main'!D326),"")</f>
        <v>20</v>
      </c>
      <c r="K326" s="12">
        <f>ROUND(_xlfn.NUMBERVALUE('Journal - Main'!G326),2)</f>
        <v>0</v>
      </c>
      <c r="L326" s="6"/>
      <c r="M326" s="6"/>
      <c r="N326" s="6"/>
      <c r="O326" s="6"/>
      <c r="P326" s="6"/>
      <c r="Q326" s="6"/>
      <c r="R326" s="5" t="str">
        <f>CONCATENATE(Input!$B$4," ",Input!$B$5," PAY ",TEXT(Input!$B$7,"DD/MM/YY"))</f>
        <v>VIC FN PAY 21/02/24</v>
      </c>
      <c r="S326" s="5">
        <f>'Journal - Main'!B326</f>
        <v>0</v>
      </c>
      <c r="W326" s="5" t="str">
        <f t="shared" si="13"/>
        <v xml:space="preserve"> </v>
      </c>
    </row>
    <row r="327" spans="1:23" x14ac:dyDescent="0.3">
      <c r="A327" s="3">
        <f t="shared" si="14"/>
        <v>326</v>
      </c>
      <c r="B327" s="4" t="s">
        <v>100</v>
      </c>
      <c r="C327" s="3">
        <f>IF(AND(ISNUMBER(MATCH('Journal - Main'!$E327,Lookups!$K$5:$K$16,0))=FALSE,OR(MID('Journal - Main'!N327,4,1)="C",MID('Journal - Main'!N327,4,1)="D")),LEFT('Journal - Main'!N327,2),Input!$B$6)</f>
        <v>20</v>
      </c>
      <c r="E327" s="32" t="s">
        <v>102</v>
      </c>
      <c r="H327" s="5" t="str">
        <f>IF(D327="",CONCATENATE(C327,'Journal - Main'!D327),"")</f>
        <v>20</v>
      </c>
      <c r="K327" s="12">
        <f>ROUND(_xlfn.NUMBERVALUE('Journal - Main'!G327),2)</f>
        <v>0</v>
      </c>
      <c r="L327" s="6"/>
      <c r="M327" s="6"/>
      <c r="N327" s="6"/>
      <c r="O327" s="6"/>
      <c r="P327" s="6"/>
      <c r="Q327" s="6"/>
      <c r="R327" s="5" t="str">
        <f>CONCATENATE(Input!$B$4," ",Input!$B$5," PAY ",TEXT(Input!$B$7,"DD/MM/YY"))</f>
        <v>VIC FN PAY 21/02/24</v>
      </c>
      <c r="S327" s="5">
        <f>'Journal - Main'!B327</f>
        <v>0</v>
      </c>
      <c r="W327" s="5" t="str">
        <f t="shared" si="13"/>
        <v xml:space="preserve"> </v>
      </c>
    </row>
    <row r="328" spans="1:23" x14ac:dyDescent="0.3">
      <c r="A328" s="3">
        <f t="shared" si="14"/>
        <v>327</v>
      </c>
      <c r="B328" s="4" t="s">
        <v>100</v>
      </c>
      <c r="C328" s="3">
        <f>IF(AND(ISNUMBER(MATCH('Journal - Main'!$E328,Lookups!$K$5:$K$16,0))=FALSE,OR(MID('Journal - Main'!N328,4,1)="C",MID('Journal - Main'!N328,4,1)="D")),LEFT('Journal - Main'!N328,2),Input!$B$6)</f>
        <v>20</v>
      </c>
      <c r="E328" s="32" t="s">
        <v>102</v>
      </c>
      <c r="H328" s="5" t="str">
        <f>IF(D328="",CONCATENATE(C328,'Journal - Main'!D328),"")</f>
        <v>20</v>
      </c>
      <c r="K328" s="12">
        <f>ROUND(_xlfn.NUMBERVALUE('Journal - Main'!G328),2)</f>
        <v>0</v>
      </c>
      <c r="L328" s="6"/>
      <c r="M328" s="6"/>
      <c r="N328" s="6"/>
      <c r="O328" s="6"/>
      <c r="P328" s="6"/>
      <c r="Q328" s="6"/>
      <c r="R328" s="5" t="str">
        <f>CONCATENATE(Input!$B$4," ",Input!$B$5," PAY ",TEXT(Input!$B$7,"DD/MM/YY"))</f>
        <v>VIC FN PAY 21/02/24</v>
      </c>
      <c r="S328" s="5">
        <f>'Journal - Main'!B328</f>
        <v>0</v>
      </c>
      <c r="W328" s="5" t="str">
        <f t="shared" si="13"/>
        <v xml:space="preserve"> </v>
      </c>
    </row>
    <row r="329" spans="1:23" x14ac:dyDescent="0.3">
      <c r="A329" s="3">
        <f t="shared" si="14"/>
        <v>328</v>
      </c>
      <c r="B329" s="4" t="s">
        <v>100</v>
      </c>
      <c r="C329" s="3">
        <f>IF(AND(ISNUMBER(MATCH('Journal - Main'!$E329,Lookups!$K$5:$K$16,0))=FALSE,OR(MID('Journal - Main'!N329,4,1)="C",MID('Journal - Main'!N329,4,1)="D")),LEFT('Journal - Main'!N329,2),Input!$B$6)</f>
        <v>20</v>
      </c>
      <c r="E329" s="32" t="s">
        <v>102</v>
      </c>
      <c r="H329" s="5" t="str">
        <f>IF(D329="",CONCATENATE(C329,'Journal - Main'!D329),"")</f>
        <v>20</v>
      </c>
      <c r="K329" s="12">
        <f>ROUND(_xlfn.NUMBERVALUE('Journal - Main'!G329),2)</f>
        <v>0</v>
      </c>
      <c r="L329" s="6"/>
      <c r="M329" s="6"/>
      <c r="N329" s="6"/>
      <c r="O329" s="6"/>
      <c r="P329" s="6"/>
      <c r="Q329" s="6"/>
      <c r="R329" s="5" t="str">
        <f>CONCATENATE(Input!$B$4," ",Input!$B$5," PAY ",TEXT(Input!$B$7,"DD/MM/YY"))</f>
        <v>VIC FN PAY 21/02/24</v>
      </c>
      <c r="S329" s="5">
        <f>'Journal - Main'!B329</f>
        <v>0</v>
      </c>
      <c r="W329" s="5" t="str">
        <f t="shared" si="13"/>
        <v xml:space="preserve"> </v>
      </c>
    </row>
    <row r="330" spans="1:23" x14ac:dyDescent="0.3">
      <c r="A330" s="3">
        <f t="shared" si="14"/>
        <v>329</v>
      </c>
      <c r="B330" s="4" t="s">
        <v>100</v>
      </c>
      <c r="C330" s="3">
        <f>IF(AND(ISNUMBER(MATCH('Journal - Main'!$E330,Lookups!$K$5:$K$16,0))=FALSE,OR(MID('Journal - Main'!N330,4,1)="C",MID('Journal - Main'!N330,4,1)="D")),LEFT('Journal - Main'!N330,2),Input!$B$6)</f>
        <v>20</v>
      </c>
      <c r="E330" s="32" t="s">
        <v>102</v>
      </c>
      <c r="H330" s="5" t="str">
        <f>IF(D330="",CONCATENATE(C330,'Journal - Main'!D330),"")</f>
        <v>20</v>
      </c>
      <c r="K330" s="12">
        <f>ROUND(_xlfn.NUMBERVALUE('Journal - Main'!G330),2)</f>
        <v>0</v>
      </c>
      <c r="L330" s="6"/>
      <c r="M330" s="6"/>
      <c r="N330" s="6"/>
      <c r="O330" s="6"/>
      <c r="P330" s="6"/>
      <c r="Q330" s="6"/>
      <c r="R330" s="5" t="str">
        <f>CONCATENATE(Input!$B$4," ",Input!$B$5," PAY ",TEXT(Input!$B$7,"DD/MM/YY"))</f>
        <v>VIC FN PAY 21/02/24</v>
      </c>
      <c r="S330" s="5">
        <f>'Journal - Main'!B330</f>
        <v>0</v>
      </c>
      <c r="W330" s="5" t="str">
        <f t="shared" si="13"/>
        <v xml:space="preserve"> </v>
      </c>
    </row>
    <row r="331" spans="1:23" x14ac:dyDescent="0.3">
      <c r="A331" s="3">
        <f t="shared" si="14"/>
        <v>330</v>
      </c>
      <c r="B331" s="4" t="s">
        <v>100</v>
      </c>
      <c r="C331" s="3">
        <f>IF(AND(ISNUMBER(MATCH('Journal - Main'!$E331,Lookups!$K$5:$K$16,0))=FALSE,OR(MID('Journal - Main'!N331,4,1)="C",MID('Journal - Main'!N331,4,1)="D")),LEFT('Journal - Main'!N331,2),Input!$B$6)</f>
        <v>20</v>
      </c>
      <c r="E331" s="32" t="s">
        <v>102</v>
      </c>
      <c r="H331" s="5" t="str">
        <f>IF(D331="",CONCATENATE(C331,'Journal - Main'!D331),"")</f>
        <v>20</v>
      </c>
      <c r="K331" s="12">
        <f>ROUND(_xlfn.NUMBERVALUE('Journal - Main'!G331),2)</f>
        <v>0</v>
      </c>
      <c r="L331" s="6"/>
      <c r="M331" s="6"/>
      <c r="N331" s="6"/>
      <c r="O331" s="6"/>
      <c r="P331" s="6"/>
      <c r="Q331" s="6"/>
      <c r="R331" s="5" t="str">
        <f>CONCATENATE(Input!$B$4," ",Input!$B$5," PAY ",TEXT(Input!$B$7,"DD/MM/YY"))</f>
        <v>VIC FN PAY 21/02/24</v>
      </c>
      <c r="S331" s="5">
        <f>'Journal - Main'!B331</f>
        <v>0</v>
      </c>
      <c r="W331" s="5" t="str">
        <f t="shared" si="13"/>
        <v xml:space="preserve"> </v>
      </c>
    </row>
    <row r="332" spans="1:23" x14ac:dyDescent="0.3">
      <c r="A332" s="3">
        <f t="shared" si="14"/>
        <v>331</v>
      </c>
      <c r="B332" s="4" t="s">
        <v>100</v>
      </c>
      <c r="C332" s="3">
        <f>IF(AND(ISNUMBER(MATCH('Journal - Main'!$E332,Lookups!$K$5:$K$16,0))=FALSE,OR(MID('Journal - Main'!N332,4,1)="C",MID('Journal - Main'!N332,4,1)="D")),LEFT('Journal - Main'!N332,2),Input!$B$6)</f>
        <v>20</v>
      </c>
      <c r="E332" s="32" t="s">
        <v>102</v>
      </c>
      <c r="H332" s="5" t="str">
        <f>IF(D332="",CONCATENATE(C332,'Journal - Main'!D332),"")</f>
        <v>20</v>
      </c>
      <c r="K332" s="12">
        <f>ROUND(_xlfn.NUMBERVALUE('Journal - Main'!G332),2)</f>
        <v>0</v>
      </c>
      <c r="L332" s="6"/>
      <c r="M332" s="6"/>
      <c r="N332" s="6"/>
      <c r="O332" s="6"/>
      <c r="P332" s="6"/>
      <c r="Q332" s="6"/>
      <c r="R332" s="5" t="str">
        <f>CONCATENATE(Input!$B$4," ",Input!$B$5," PAY ",TEXT(Input!$B$7,"DD/MM/YY"))</f>
        <v>VIC FN PAY 21/02/24</v>
      </c>
      <c r="S332" s="5">
        <f>'Journal - Main'!B332</f>
        <v>0</v>
      </c>
      <c r="W332" s="5" t="str">
        <f t="shared" si="13"/>
        <v xml:space="preserve"> </v>
      </c>
    </row>
    <row r="333" spans="1:23" x14ac:dyDescent="0.3">
      <c r="A333" s="3">
        <f t="shared" si="14"/>
        <v>332</v>
      </c>
      <c r="B333" s="4" t="s">
        <v>100</v>
      </c>
      <c r="C333" s="3">
        <f>IF(AND(ISNUMBER(MATCH('Journal - Main'!$E333,Lookups!$K$5:$K$16,0))=FALSE,OR(MID('Journal - Main'!N333,4,1)="C",MID('Journal - Main'!N333,4,1)="D")),LEFT('Journal - Main'!N333,2),Input!$B$6)</f>
        <v>20</v>
      </c>
      <c r="E333" s="32" t="s">
        <v>102</v>
      </c>
      <c r="H333" s="5" t="str">
        <f>IF(D333="",CONCATENATE(C333,'Journal - Main'!D333),"")</f>
        <v>20</v>
      </c>
      <c r="K333" s="12">
        <f>ROUND(_xlfn.NUMBERVALUE('Journal - Main'!G333),2)</f>
        <v>0</v>
      </c>
      <c r="L333" s="6"/>
      <c r="M333" s="6"/>
      <c r="N333" s="6"/>
      <c r="O333" s="6"/>
      <c r="P333" s="6"/>
      <c r="Q333" s="6"/>
      <c r="R333" s="5" t="str">
        <f>CONCATENATE(Input!$B$4," ",Input!$B$5," PAY ",TEXT(Input!$B$7,"DD/MM/YY"))</f>
        <v>VIC FN PAY 21/02/24</v>
      </c>
      <c r="S333" s="5">
        <f>'Journal - Main'!B333</f>
        <v>0</v>
      </c>
      <c r="W333" s="5" t="str">
        <f t="shared" si="13"/>
        <v xml:space="preserve"> </v>
      </c>
    </row>
    <row r="334" spans="1:23" x14ac:dyDescent="0.3">
      <c r="A334" s="3">
        <f t="shared" si="14"/>
        <v>333</v>
      </c>
      <c r="B334" s="4" t="s">
        <v>100</v>
      </c>
      <c r="C334" s="3">
        <f>IF(AND(ISNUMBER(MATCH('Journal - Main'!$E334,Lookups!$K$5:$K$16,0))=FALSE,OR(MID('Journal - Main'!N334,4,1)="C",MID('Journal - Main'!N334,4,1)="D")),LEFT('Journal - Main'!N334,2),Input!$B$6)</f>
        <v>20</v>
      </c>
      <c r="E334" s="32" t="s">
        <v>102</v>
      </c>
      <c r="H334" s="5" t="str">
        <f>IF(D334="",CONCATENATE(C334,'Journal - Main'!D334),"")</f>
        <v>20</v>
      </c>
      <c r="K334" s="12">
        <f>ROUND(_xlfn.NUMBERVALUE('Journal - Main'!G334),2)</f>
        <v>0</v>
      </c>
      <c r="L334" s="6"/>
      <c r="M334" s="6"/>
      <c r="N334" s="6"/>
      <c r="O334" s="6"/>
      <c r="P334" s="6"/>
      <c r="Q334" s="6"/>
      <c r="R334" s="5" t="str">
        <f>CONCATENATE(Input!$B$4," ",Input!$B$5," PAY ",TEXT(Input!$B$7,"DD/MM/YY"))</f>
        <v>VIC FN PAY 21/02/24</v>
      </c>
      <c r="S334" s="5">
        <f>'Journal - Main'!B334</f>
        <v>0</v>
      </c>
      <c r="W334" s="5" t="str">
        <f t="shared" si="13"/>
        <v xml:space="preserve"> </v>
      </c>
    </row>
    <row r="335" spans="1:23" x14ac:dyDescent="0.3">
      <c r="A335" s="3">
        <f t="shared" si="14"/>
        <v>334</v>
      </c>
      <c r="B335" s="4" t="s">
        <v>100</v>
      </c>
      <c r="C335" s="3">
        <f>IF(AND(ISNUMBER(MATCH('Journal - Main'!$E335,Lookups!$K$5:$K$16,0))=FALSE,OR(MID('Journal - Main'!N335,4,1)="C",MID('Journal - Main'!N335,4,1)="D")),LEFT('Journal - Main'!N335,2),Input!$B$6)</f>
        <v>20</v>
      </c>
      <c r="E335" s="32" t="s">
        <v>102</v>
      </c>
      <c r="H335" s="5" t="str">
        <f>IF(D335="",CONCATENATE(C335,'Journal - Main'!D335),"")</f>
        <v>20</v>
      </c>
      <c r="K335" s="12">
        <f>ROUND(_xlfn.NUMBERVALUE('Journal - Main'!G335),2)</f>
        <v>0</v>
      </c>
      <c r="L335" s="6"/>
      <c r="M335" s="6"/>
      <c r="N335" s="6"/>
      <c r="O335" s="6"/>
      <c r="P335" s="6"/>
      <c r="Q335" s="6"/>
      <c r="R335" s="5" t="str">
        <f>CONCATENATE(Input!$B$4," ",Input!$B$5," PAY ",TEXT(Input!$B$7,"DD/MM/YY"))</f>
        <v>VIC FN PAY 21/02/24</v>
      </c>
      <c r="S335" s="5">
        <f>'Journal - Main'!B335</f>
        <v>0</v>
      </c>
      <c r="W335" s="5" t="str">
        <f t="shared" si="13"/>
        <v xml:space="preserve"> </v>
      </c>
    </row>
    <row r="336" spans="1:23" x14ac:dyDescent="0.3">
      <c r="A336" s="3">
        <f t="shared" si="14"/>
        <v>335</v>
      </c>
      <c r="B336" s="4" t="s">
        <v>100</v>
      </c>
      <c r="C336" s="3">
        <f>IF(AND(ISNUMBER(MATCH('Journal - Main'!$E336,Lookups!$K$5:$K$16,0))=FALSE,OR(MID('Journal - Main'!N336,4,1)="C",MID('Journal - Main'!N336,4,1)="D")),LEFT('Journal - Main'!N336,2),Input!$B$6)</f>
        <v>20</v>
      </c>
      <c r="E336" s="32" t="s">
        <v>102</v>
      </c>
      <c r="H336" s="5" t="str">
        <f>IF(D336="",CONCATENATE(C336,'Journal - Main'!D336),"")</f>
        <v>20</v>
      </c>
      <c r="K336" s="12">
        <f>ROUND(_xlfn.NUMBERVALUE('Journal - Main'!G336),2)</f>
        <v>0</v>
      </c>
      <c r="L336" s="6"/>
      <c r="M336" s="6"/>
      <c r="N336" s="6"/>
      <c r="O336" s="6"/>
      <c r="P336" s="6"/>
      <c r="Q336" s="6"/>
      <c r="R336" s="5" t="str">
        <f>CONCATENATE(Input!$B$4," ",Input!$B$5," PAY ",TEXT(Input!$B$7,"DD/MM/YY"))</f>
        <v>VIC FN PAY 21/02/24</v>
      </c>
      <c r="S336" s="5">
        <f>'Journal - Main'!B336</f>
        <v>0</v>
      </c>
      <c r="W336" s="5" t="str">
        <f t="shared" si="13"/>
        <v xml:space="preserve"> </v>
      </c>
    </row>
    <row r="337" spans="1:23" x14ac:dyDescent="0.3">
      <c r="A337" s="3">
        <f t="shared" si="14"/>
        <v>336</v>
      </c>
      <c r="B337" s="4" t="s">
        <v>100</v>
      </c>
      <c r="C337" s="3">
        <f>IF(AND(ISNUMBER(MATCH('Journal - Main'!$E337,Lookups!$K$5:$K$16,0))=FALSE,OR(MID('Journal - Main'!N337,4,1)="C",MID('Journal - Main'!N337,4,1)="D")),LEFT('Journal - Main'!N337,2),Input!$B$6)</f>
        <v>20</v>
      </c>
      <c r="E337" s="32" t="s">
        <v>102</v>
      </c>
      <c r="H337" s="5" t="str">
        <f>IF(D337="",CONCATENATE(C337,'Journal - Main'!D337),"")</f>
        <v>20</v>
      </c>
      <c r="K337" s="12">
        <f>ROUND(_xlfn.NUMBERVALUE('Journal - Main'!G337),2)</f>
        <v>0</v>
      </c>
      <c r="L337" s="6"/>
      <c r="M337" s="6"/>
      <c r="N337" s="6"/>
      <c r="O337" s="6"/>
      <c r="P337" s="6"/>
      <c r="Q337" s="6"/>
      <c r="R337" s="5" t="str">
        <f>CONCATENATE(Input!$B$4," ",Input!$B$5," PAY ",TEXT(Input!$B$7,"DD/MM/YY"))</f>
        <v>VIC FN PAY 21/02/24</v>
      </c>
      <c r="S337" s="5">
        <f>'Journal - Main'!B337</f>
        <v>0</v>
      </c>
      <c r="W337" s="5" t="str">
        <f t="shared" si="13"/>
        <v xml:space="preserve"> </v>
      </c>
    </row>
    <row r="338" spans="1:23" x14ac:dyDescent="0.3">
      <c r="A338" s="3">
        <f t="shared" si="14"/>
        <v>337</v>
      </c>
      <c r="B338" s="4" t="s">
        <v>100</v>
      </c>
      <c r="C338" s="3">
        <f>IF(AND(ISNUMBER(MATCH('Journal - Main'!$E338,Lookups!$K$5:$K$16,0))=FALSE,OR(MID('Journal - Main'!N338,4,1)="C",MID('Journal - Main'!N338,4,1)="D")),LEFT('Journal - Main'!N338,2),Input!$B$6)</f>
        <v>20</v>
      </c>
      <c r="E338" s="32" t="s">
        <v>102</v>
      </c>
      <c r="H338" s="5" t="str">
        <f>IF(D338="",CONCATENATE(C338,'Journal - Main'!D338),"")</f>
        <v>20</v>
      </c>
      <c r="K338" s="12">
        <f>ROUND(_xlfn.NUMBERVALUE('Journal - Main'!G338),2)</f>
        <v>0</v>
      </c>
      <c r="L338" s="6"/>
      <c r="M338" s="6"/>
      <c r="N338" s="6"/>
      <c r="O338" s="6"/>
      <c r="P338" s="6"/>
      <c r="Q338" s="6"/>
      <c r="R338" s="5" t="str">
        <f>CONCATENATE(Input!$B$4," ",Input!$B$5," PAY ",TEXT(Input!$B$7,"DD/MM/YY"))</f>
        <v>VIC FN PAY 21/02/24</v>
      </c>
      <c r="S338" s="5">
        <f>'Journal - Main'!B338</f>
        <v>0</v>
      </c>
      <c r="W338" s="5" t="str">
        <f t="shared" si="13"/>
        <v xml:space="preserve"> </v>
      </c>
    </row>
    <row r="339" spans="1:23" x14ac:dyDescent="0.3">
      <c r="A339" s="3">
        <f t="shared" si="14"/>
        <v>338</v>
      </c>
      <c r="B339" s="4" t="s">
        <v>100</v>
      </c>
      <c r="C339" s="3">
        <f>IF(AND(ISNUMBER(MATCH('Journal - Main'!$E339,Lookups!$K$5:$K$16,0))=FALSE,OR(MID('Journal - Main'!N339,4,1)="C",MID('Journal - Main'!N339,4,1)="D")),LEFT('Journal - Main'!N339,2),Input!$B$6)</f>
        <v>20</v>
      </c>
      <c r="E339" s="32" t="s">
        <v>102</v>
      </c>
      <c r="H339" s="5" t="str">
        <f>IF(D339="",CONCATENATE(C339,'Journal - Main'!D339),"")</f>
        <v>20</v>
      </c>
      <c r="K339" s="12">
        <f>ROUND(_xlfn.NUMBERVALUE('Journal - Main'!G339),2)</f>
        <v>0</v>
      </c>
      <c r="L339" s="6"/>
      <c r="M339" s="6"/>
      <c r="N339" s="6"/>
      <c r="O339" s="6"/>
      <c r="P339" s="6"/>
      <c r="Q339" s="6"/>
      <c r="R339" s="5" t="str">
        <f>CONCATENATE(Input!$B$4," ",Input!$B$5," PAY ",TEXT(Input!$B$7,"DD/MM/YY"))</f>
        <v>VIC FN PAY 21/02/24</v>
      </c>
      <c r="S339" s="5">
        <f>'Journal - Main'!B339</f>
        <v>0</v>
      </c>
      <c r="W339" s="5" t="str">
        <f t="shared" si="13"/>
        <v xml:space="preserve"> </v>
      </c>
    </row>
    <row r="340" spans="1:23" x14ac:dyDescent="0.3">
      <c r="A340" s="3">
        <f t="shared" si="14"/>
        <v>339</v>
      </c>
      <c r="B340" s="4" t="s">
        <v>100</v>
      </c>
      <c r="C340" s="3">
        <f>IF(AND(ISNUMBER(MATCH('Journal - Main'!$E340,Lookups!$K$5:$K$16,0))=FALSE,OR(MID('Journal - Main'!N340,4,1)="C",MID('Journal - Main'!N340,4,1)="D")),LEFT('Journal - Main'!N340,2),Input!$B$6)</f>
        <v>20</v>
      </c>
      <c r="E340" s="32" t="s">
        <v>102</v>
      </c>
      <c r="H340" s="5" t="str">
        <f>IF(D340="",CONCATENATE(C340,'Journal - Main'!D340),"")</f>
        <v>20</v>
      </c>
      <c r="K340" s="12">
        <f>ROUND(_xlfn.NUMBERVALUE('Journal - Main'!G340),2)</f>
        <v>0</v>
      </c>
      <c r="L340" s="6"/>
      <c r="M340" s="6"/>
      <c r="N340" s="6"/>
      <c r="O340" s="6"/>
      <c r="P340" s="6"/>
      <c r="Q340" s="6"/>
      <c r="R340" s="5" t="str">
        <f>CONCATENATE(Input!$B$4," ",Input!$B$5," PAY ",TEXT(Input!$B$7,"DD/MM/YY"))</f>
        <v>VIC FN PAY 21/02/24</v>
      </c>
      <c r="S340" s="5">
        <f>'Journal - Main'!B340</f>
        <v>0</v>
      </c>
      <c r="W340" s="5" t="str">
        <f t="shared" si="13"/>
        <v xml:space="preserve"> </v>
      </c>
    </row>
    <row r="341" spans="1:23" x14ac:dyDescent="0.3">
      <c r="A341" s="3">
        <f t="shared" si="14"/>
        <v>340</v>
      </c>
      <c r="B341" s="4" t="s">
        <v>100</v>
      </c>
      <c r="C341" s="3">
        <f>IF(AND(ISNUMBER(MATCH('Journal - Main'!$E341,Lookups!$K$5:$K$16,0))=FALSE,OR(MID('Journal - Main'!N341,4,1)="C",MID('Journal - Main'!N341,4,1)="D")),LEFT('Journal - Main'!N341,2),Input!$B$6)</f>
        <v>20</v>
      </c>
      <c r="E341" s="32" t="s">
        <v>102</v>
      </c>
      <c r="H341" s="5" t="str">
        <f>IF(D341="",CONCATENATE(C341,'Journal - Main'!D341),"")</f>
        <v>20</v>
      </c>
      <c r="K341" s="12">
        <f>ROUND(_xlfn.NUMBERVALUE('Journal - Main'!G341),2)</f>
        <v>0</v>
      </c>
      <c r="L341" s="6"/>
      <c r="M341" s="6"/>
      <c r="N341" s="6"/>
      <c r="O341" s="6"/>
      <c r="P341" s="6"/>
      <c r="Q341" s="6"/>
      <c r="R341" s="5" t="str">
        <f>CONCATENATE(Input!$B$4," ",Input!$B$5," PAY ",TEXT(Input!$B$7,"DD/MM/YY"))</f>
        <v>VIC FN PAY 21/02/24</v>
      </c>
      <c r="S341" s="5">
        <f>'Journal - Main'!B341</f>
        <v>0</v>
      </c>
      <c r="W341" s="5" t="str">
        <f t="shared" si="13"/>
        <v xml:space="preserve"> </v>
      </c>
    </row>
    <row r="342" spans="1:23" x14ac:dyDescent="0.3">
      <c r="A342" s="3">
        <f t="shared" si="14"/>
        <v>341</v>
      </c>
      <c r="B342" s="4" t="s">
        <v>100</v>
      </c>
      <c r="C342" s="3">
        <f>IF(AND(ISNUMBER(MATCH('Journal - Main'!$E342,Lookups!$K$5:$K$16,0))=FALSE,OR(MID('Journal - Main'!N342,4,1)="C",MID('Journal - Main'!N342,4,1)="D")),LEFT('Journal - Main'!N342,2),Input!$B$6)</f>
        <v>20</v>
      </c>
      <c r="E342" s="32" t="s">
        <v>102</v>
      </c>
      <c r="H342" s="5" t="str">
        <f>IF(D342="",CONCATENATE(C342,'Journal - Main'!D342),"")</f>
        <v>20</v>
      </c>
      <c r="K342" s="12">
        <f>ROUND(_xlfn.NUMBERVALUE('Journal - Main'!G342),2)</f>
        <v>0</v>
      </c>
      <c r="L342" s="6"/>
      <c r="M342" s="6"/>
      <c r="N342" s="6"/>
      <c r="O342" s="6"/>
      <c r="P342" s="6"/>
      <c r="Q342" s="6"/>
      <c r="R342" s="5" t="str">
        <f>CONCATENATE(Input!$B$4," ",Input!$B$5," PAY ",TEXT(Input!$B$7,"DD/MM/YY"))</f>
        <v>VIC FN PAY 21/02/24</v>
      </c>
      <c r="S342" s="5">
        <f>'Journal - Main'!B342</f>
        <v>0</v>
      </c>
      <c r="W342" s="5" t="str">
        <f t="shared" si="13"/>
        <v xml:space="preserve"> </v>
      </c>
    </row>
    <row r="343" spans="1:23" x14ac:dyDescent="0.3">
      <c r="B343" s="4" t="s">
        <v>100</v>
      </c>
      <c r="C343" s="3">
        <f>IF(AND(ISNUMBER(MATCH('Journal - Main'!$E343,Lookups!$K$5:$K$16,0))=FALSE,OR(MID('Journal - Main'!N343,4,1)="C",MID('Journal - Main'!N343,4,1)="D")),LEFT('Journal - Main'!N343,2),Input!$B$6)</f>
        <v>20</v>
      </c>
      <c r="E343" s="32" t="s">
        <v>102</v>
      </c>
    </row>
    <row r="344" spans="1:23" x14ac:dyDescent="0.3">
      <c r="B344" s="4" t="s">
        <v>100</v>
      </c>
      <c r="C344" s="3">
        <f>IF(AND(ISNUMBER(MATCH('Journal - Main'!$E344,Lookups!$K$5:$K$16,0))=FALSE,OR(MID('Journal - Main'!N344,4,1)="C",MID('Journal - Main'!N344,4,1)="D")),LEFT('Journal - Main'!N344,2),Input!$B$6)</f>
        <v>20</v>
      </c>
      <c r="E344" s="32" t="s">
        <v>102</v>
      </c>
    </row>
    <row r="345" spans="1:23" x14ac:dyDescent="0.3">
      <c r="B345" s="4" t="s">
        <v>100</v>
      </c>
      <c r="C345" s="3">
        <f>IF(AND(ISNUMBER(MATCH('Journal - Main'!$E345,Lookups!$K$5:$K$16,0))=FALSE,OR(MID('Journal - Main'!N345,4,1)="C",MID('Journal - Main'!N345,4,1)="D")),LEFT('Journal - Main'!N345,2),Input!$B$6)</f>
        <v>20</v>
      </c>
      <c r="E345" s="32" t="s">
        <v>102</v>
      </c>
    </row>
    <row r="346" spans="1:23" x14ac:dyDescent="0.3">
      <c r="B346" s="4" t="s">
        <v>100</v>
      </c>
      <c r="C346" s="3">
        <f>IF(AND(ISNUMBER(MATCH('Journal - Main'!$E346,Lookups!$K$5:$K$16,0))=FALSE,OR(MID('Journal - Main'!N346,4,1)="C",MID('Journal - Main'!N346,4,1)="D")),LEFT('Journal - Main'!N346,2),Input!$B$6)</f>
        <v>20</v>
      </c>
      <c r="E346" s="32" t="s">
        <v>102</v>
      </c>
    </row>
    <row r="347" spans="1:23" x14ac:dyDescent="0.3">
      <c r="B347" s="4" t="s">
        <v>100</v>
      </c>
      <c r="C347" s="3">
        <f>IF(AND(ISNUMBER(MATCH('Journal - Main'!$E347,Lookups!$K$5:$K$16,0))=FALSE,OR(MID('Journal - Main'!N347,4,1)="C",MID('Journal - Main'!N347,4,1)="D")),LEFT('Journal - Main'!N347,2),Input!$B$6)</f>
        <v>20</v>
      </c>
      <c r="E347" s="32" t="s">
        <v>102</v>
      </c>
    </row>
    <row r="348" spans="1:23" x14ac:dyDescent="0.3">
      <c r="B348" s="4" t="s">
        <v>100</v>
      </c>
      <c r="C348" s="3">
        <f>IF(AND(ISNUMBER(MATCH('Journal - Main'!$E348,Lookups!$K$5:$K$16,0))=FALSE,OR(MID('Journal - Main'!N348,4,1)="C",MID('Journal - Main'!N348,4,1)="D")),LEFT('Journal - Main'!N348,2),Input!$B$6)</f>
        <v>20</v>
      </c>
      <c r="E348" s="32" t="s">
        <v>102</v>
      </c>
    </row>
    <row r="349" spans="1:23" x14ac:dyDescent="0.3">
      <c r="B349" s="4" t="s">
        <v>100</v>
      </c>
      <c r="C349" s="3">
        <f>IF(AND(ISNUMBER(MATCH('Journal - Main'!$E349,Lookups!$K$5:$K$16,0))=FALSE,OR(MID('Journal - Main'!N349,4,1)="C",MID('Journal - Main'!N349,4,1)="D")),LEFT('Journal - Main'!N349,2),Input!$B$6)</f>
        <v>20</v>
      </c>
      <c r="E349" s="32" t="s">
        <v>102</v>
      </c>
    </row>
    <row r="350" spans="1:23" x14ac:dyDescent="0.3">
      <c r="B350" s="4" t="s">
        <v>100</v>
      </c>
      <c r="C350" s="3">
        <f>IF(AND(ISNUMBER(MATCH('Journal - Main'!$E350,Lookups!$K$5:$K$16,0))=FALSE,OR(MID('Journal - Main'!N350,4,1)="C",MID('Journal - Main'!N350,4,1)="D")),LEFT('Journal - Main'!N350,2),Input!$B$6)</f>
        <v>20</v>
      </c>
      <c r="E350" s="32" t="s">
        <v>102</v>
      </c>
    </row>
    <row r="351" spans="1:23" x14ac:dyDescent="0.3">
      <c r="B351" s="4" t="s">
        <v>100</v>
      </c>
      <c r="C351" s="3">
        <f>IF(AND(ISNUMBER(MATCH('Journal - Main'!$E351,Lookups!$K$5:$K$16,0))=FALSE,OR(MID('Journal - Main'!N351,4,1)="C",MID('Journal - Main'!N351,4,1)="D")),LEFT('Journal - Main'!N351,2),Input!$B$6)</f>
        <v>20</v>
      </c>
      <c r="E351" s="32" t="s">
        <v>102</v>
      </c>
    </row>
    <row r="352" spans="1:23" x14ac:dyDescent="0.3">
      <c r="B352" s="4" t="s">
        <v>100</v>
      </c>
      <c r="C352" s="3">
        <f>IF(AND(ISNUMBER(MATCH('Journal - Main'!$E352,Lookups!$K$5:$K$16,0))=FALSE,OR(MID('Journal - Main'!N352,4,1)="C",MID('Journal - Main'!N352,4,1)="D")),LEFT('Journal - Main'!N352,2),Input!$B$6)</f>
        <v>20</v>
      </c>
      <c r="E352" s="32" t="s">
        <v>102</v>
      </c>
    </row>
    <row r="353" spans="2:5" x14ac:dyDescent="0.3">
      <c r="B353" s="4" t="s">
        <v>100</v>
      </c>
      <c r="C353" s="3">
        <f>IF(AND(ISNUMBER(MATCH('Journal - Main'!$E353,Lookups!$K$5:$K$16,0))=FALSE,OR(MID('Journal - Main'!N353,4,1)="C",MID('Journal - Main'!N353,4,1)="D")),LEFT('Journal - Main'!N353,2),Input!$B$6)</f>
        <v>20</v>
      </c>
      <c r="E353" s="32" t="s">
        <v>102</v>
      </c>
    </row>
    <row r="354" spans="2:5" x14ac:dyDescent="0.3">
      <c r="B354" s="4" t="s">
        <v>100</v>
      </c>
      <c r="C354" s="3">
        <f>IF(AND(ISNUMBER(MATCH('Journal - Main'!$E354,Lookups!$K$5:$K$16,0))=FALSE,OR(MID('Journal - Main'!N354,4,1)="C",MID('Journal - Main'!N354,4,1)="D")),LEFT('Journal - Main'!N354,2),Input!$B$6)</f>
        <v>20</v>
      </c>
      <c r="E354" s="32" t="s">
        <v>102</v>
      </c>
    </row>
    <row r="355" spans="2:5" x14ac:dyDescent="0.3">
      <c r="B355" s="4" t="s">
        <v>100</v>
      </c>
      <c r="C355" s="3">
        <f>IF(AND(ISNUMBER(MATCH('Journal - Main'!$E355,Lookups!$K$5:$K$16,0))=FALSE,OR(MID('Journal - Main'!N355,4,1)="C",MID('Journal - Main'!N355,4,1)="D")),LEFT('Journal - Main'!N355,2),Input!$B$6)</f>
        <v>20</v>
      </c>
      <c r="E355" s="32" t="s">
        <v>102</v>
      </c>
    </row>
    <row r="356" spans="2:5" x14ac:dyDescent="0.3">
      <c r="B356" s="4" t="s">
        <v>100</v>
      </c>
      <c r="C356" s="3">
        <f>IF(AND(ISNUMBER(MATCH('Journal - Main'!$E356,Lookups!$K$5:$K$16,0))=FALSE,OR(MID('Journal - Main'!N356,4,1)="C",MID('Journal - Main'!N356,4,1)="D")),LEFT('Journal - Main'!N356,2),Input!$B$6)</f>
        <v>20</v>
      </c>
      <c r="E356" s="32" t="s">
        <v>102</v>
      </c>
    </row>
    <row r="357" spans="2:5" x14ac:dyDescent="0.3">
      <c r="B357" s="4" t="s">
        <v>100</v>
      </c>
      <c r="C357" s="3">
        <f>IF(AND(ISNUMBER(MATCH('Journal - Main'!$E357,Lookups!$K$5:$K$16,0))=FALSE,OR(MID('Journal - Main'!N357,4,1)="C",MID('Journal - Main'!N357,4,1)="D")),LEFT('Journal - Main'!N357,2),Input!$B$6)</f>
        <v>20</v>
      </c>
      <c r="E357" s="32" t="s">
        <v>102</v>
      </c>
    </row>
    <row r="358" spans="2:5" x14ac:dyDescent="0.3">
      <c r="B358" s="4" t="s">
        <v>100</v>
      </c>
      <c r="C358" s="3">
        <f>IF(AND(ISNUMBER(MATCH('Journal - Main'!$E358,Lookups!$K$5:$K$16,0))=FALSE,OR(MID('Journal - Main'!N358,4,1)="C",MID('Journal - Main'!N358,4,1)="D")),LEFT('Journal - Main'!N358,2),Input!$B$6)</f>
        <v>20</v>
      </c>
      <c r="E358" s="32" t="s">
        <v>102</v>
      </c>
    </row>
    <row r="359" spans="2:5" x14ac:dyDescent="0.3">
      <c r="B359" s="4" t="s">
        <v>100</v>
      </c>
      <c r="C359" s="3">
        <f>IF(AND(ISNUMBER(MATCH('Journal - Main'!$E359,Lookups!$K$5:$K$16,0))=FALSE,OR(MID('Journal - Main'!N359,4,1)="C",MID('Journal - Main'!N359,4,1)="D")),LEFT('Journal - Main'!N359,2),Input!$B$6)</f>
        <v>20</v>
      </c>
      <c r="E359" s="32" t="s">
        <v>102</v>
      </c>
    </row>
    <row r="360" spans="2:5" x14ac:dyDescent="0.3">
      <c r="B360" s="4" t="s">
        <v>100</v>
      </c>
      <c r="C360" s="3">
        <f>IF(AND(ISNUMBER(MATCH('Journal - Main'!$E360,Lookups!$K$5:$K$16,0))=FALSE,OR(MID('Journal - Main'!N360,4,1)="C",MID('Journal - Main'!N360,4,1)="D")),LEFT('Journal - Main'!N360,2),Input!$B$6)</f>
        <v>20</v>
      </c>
      <c r="E360" s="32" t="s">
        <v>102</v>
      </c>
    </row>
    <row r="361" spans="2:5" x14ac:dyDescent="0.3">
      <c r="B361" s="4" t="s">
        <v>100</v>
      </c>
      <c r="C361" s="3">
        <f>IF(AND(ISNUMBER(MATCH('Journal - Main'!$E361,Lookups!$K$5:$K$16,0))=FALSE,OR(MID('Journal - Main'!N361,4,1)="C",MID('Journal - Main'!N361,4,1)="D")),LEFT('Journal - Main'!N361,2),Input!$B$6)</f>
        <v>20</v>
      </c>
      <c r="E361" s="32" t="s">
        <v>102</v>
      </c>
    </row>
    <row r="362" spans="2:5" x14ac:dyDescent="0.3">
      <c r="B362" s="4" t="s">
        <v>100</v>
      </c>
      <c r="C362" s="3">
        <f>IF(AND(ISNUMBER(MATCH('Journal - Main'!$E362,Lookups!$K$5:$K$16,0))=FALSE,OR(MID('Journal - Main'!N362,4,1)="C",MID('Journal - Main'!N362,4,1)="D")),LEFT('Journal - Main'!N362,2),Input!$B$6)</f>
        <v>20</v>
      </c>
      <c r="E362" s="32" t="s">
        <v>102</v>
      </c>
    </row>
    <row r="363" spans="2:5" x14ac:dyDescent="0.3">
      <c r="B363" s="4" t="s">
        <v>100</v>
      </c>
      <c r="C363" s="3">
        <f>IF(AND(ISNUMBER(MATCH('Journal - Main'!$E363,Lookups!$K$5:$K$16,0))=FALSE,OR(MID('Journal - Main'!N363,4,1)="C",MID('Journal - Main'!N363,4,1)="D")),LEFT('Journal - Main'!N363,2),Input!$B$6)</f>
        <v>20</v>
      </c>
      <c r="E363" s="32" t="s">
        <v>102</v>
      </c>
    </row>
    <row r="364" spans="2:5" x14ac:dyDescent="0.3">
      <c r="B364" s="4" t="s">
        <v>100</v>
      </c>
      <c r="C364" s="3">
        <f>IF(AND(ISNUMBER(MATCH('Journal - Main'!$E364,Lookups!$K$5:$K$16,0))=FALSE,OR(MID('Journal - Main'!N364,4,1)="C",MID('Journal - Main'!N364,4,1)="D")),LEFT('Journal - Main'!N364,2),Input!$B$6)</f>
        <v>20</v>
      </c>
      <c r="E364" s="32" t="s">
        <v>102</v>
      </c>
    </row>
    <row r="365" spans="2:5" x14ac:dyDescent="0.3">
      <c r="B365" s="4" t="s">
        <v>100</v>
      </c>
      <c r="C365" s="3">
        <f>IF(AND(ISNUMBER(MATCH('Journal - Main'!$E365,Lookups!$K$5:$K$16,0))=FALSE,OR(MID('Journal - Main'!N365,4,1)="C",MID('Journal - Main'!N365,4,1)="D")),LEFT('Journal - Main'!N365,2),Input!$B$6)</f>
        <v>20</v>
      </c>
      <c r="E365" s="32" t="s">
        <v>102</v>
      </c>
    </row>
    <row r="366" spans="2:5" x14ac:dyDescent="0.3">
      <c r="B366" s="4" t="s">
        <v>100</v>
      </c>
      <c r="C366" s="3">
        <f>IF(AND(ISNUMBER(MATCH('Journal - Main'!$E366,Lookups!$K$5:$K$16,0))=FALSE,OR(MID('Journal - Main'!N366,4,1)="C",MID('Journal - Main'!N366,4,1)="D")),LEFT('Journal - Main'!N366,2),Input!$B$6)</f>
        <v>20</v>
      </c>
      <c r="E366" s="32" t="s">
        <v>102</v>
      </c>
    </row>
    <row r="367" spans="2:5" x14ac:dyDescent="0.3">
      <c r="B367" s="4" t="s">
        <v>100</v>
      </c>
      <c r="C367" s="3">
        <f>IF(AND(ISNUMBER(MATCH('Journal - Main'!$E367,Lookups!$K$5:$K$16,0))=FALSE,OR(MID('Journal - Main'!N367,4,1)="C",MID('Journal - Main'!N367,4,1)="D")),LEFT('Journal - Main'!N367,2),Input!$B$6)</f>
        <v>20</v>
      </c>
      <c r="E367" s="32" t="s">
        <v>102</v>
      </c>
    </row>
    <row r="368" spans="2:5" x14ac:dyDescent="0.3">
      <c r="B368" s="4" t="s">
        <v>100</v>
      </c>
      <c r="C368" s="3">
        <f>IF(AND(ISNUMBER(MATCH('Journal - Main'!$E368,Lookups!$K$5:$K$16,0))=FALSE,OR(MID('Journal - Main'!N368,4,1)="C",MID('Journal - Main'!N368,4,1)="D")),LEFT('Journal - Main'!N368,2),Input!$B$6)</f>
        <v>20</v>
      </c>
      <c r="E368" s="32" t="s">
        <v>102</v>
      </c>
    </row>
    <row r="369" spans="2:5" x14ac:dyDescent="0.3">
      <c r="B369" s="4" t="s">
        <v>100</v>
      </c>
      <c r="C369" s="3">
        <f>IF(AND(ISNUMBER(MATCH('Journal - Main'!$E369,Lookups!$K$5:$K$16,0))=FALSE,OR(MID('Journal - Main'!N369,4,1)="C",MID('Journal - Main'!N369,4,1)="D")),LEFT('Journal - Main'!N369,2),Input!$B$6)</f>
        <v>20</v>
      </c>
      <c r="E369" s="32" t="s">
        <v>102</v>
      </c>
    </row>
    <row r="370" spans="2:5" x14ac:dyDescent="0.3">
      <c r="B370" s="4" t="s">
        <v>100</v>
      </c>
      <c r="C370" s="3">
        <f>IF(AND(ISNUMBER(MATCH('Journal - Main'!$E370,Lookups!$K$5:$K$16,0))=FALSE,OR(MID('Journal - Main'!N370,4,1)="C",MID('Journal - Main'!N370,4,1)="D")),LEFT('Journal - Main'!N370,2),Input!$B$6)</f>
        <v>20</v>
      </c>
      <c r="E370" s="32" t="s">
        <v>102</v>
      </c>
    </row>
    <row r="371" spans="2:5" x14ac:dyDescent="0.3">
      <c r="B371" s="4" t="s">
        <v>100</v>
      </c>
      <c r="C371" s="3">
        <f>IF(AND(ISNUMBER(MATCH('Journal - Main'!$E371,Lookups!$K$5:$K$16,0))=FALSE,OR(MID('Journal - Main'!N371,4,1)="C",MID('Journal - Main'!N371,4,1)="D")),LEFT('Journal - Main'!N371,2),Input!$B$6)</f>
        <v>20</v>
      </c>
      <c r="E371" s="32" t="s">
        <v>102</v>
      </c>
    </row>
    <row r="372" spans="2:5" x14ac:dyDescent="0.3">
      <c r="B372" s="4" t="s">
        <v>100</v>
      </c>
      <c r="C372" s="3">
        <f>IF(AND(ISNUMBER(MATCH('Journal - Main'!$E372,Lookups!$K$5:$K$16,0))=FALSE,OR(MID('Journal - Main'!N372,4,1)="C",MID('Journal - Main'!N372,4,1)="D")),LEFT('Journal - Main'!N372,2),Input!$B$6)</f>
        <v>20</v>
      </c>
      <c r="E372" s="32" t="s">
        <v>102</v>
      </c>
    </row>
    <row r="373" spans="2:5" x14ac:dyDescent="0.3">
      <c r="B373" s="4" t="s">
        <v>100</v>
      </c>
      <c r="C373" s="3">
        <f>IF(AND(ISNUMBER(MATCH('Journal - Main'!$E373,Lookups!$K$5:$K$16,0))=FALSE,OR(MID('Journal - Main'!N373,4,1)="C",MID('Journal - Main'!N373,4,1)="D")),LEFT('Journal - Main'!N373,2),Input!$B$6)</f>
        <v>20</v>
      </c>
      <c r="E373" s="32" t="s">
        <v>102</v>
      </c>
    </row>
    <row r="374" spans="2:5" x14ac:dyDescent="0.3">
      <c r="B374" s="4" t="s">
        <v>100</v>
      </c>
      <c r="C374" s="3">
        <f>IF(AND(ISNUMBER(MATCH('Journal - Main'!$E374,Lookups!$K$5:$K$16,0))=FALSE,OR(MID('Journal - Main'!N374,4,1)="C",MID('Journal - Main'!N374,4,1)="D")),LEFT('Journal - Main'!N374,2),Input!$B$6)</f>
        <v>20</v>
      </c>
      <c r="E374" s="32" t="s">
        <v>102</v>
      </c>
    </row>
    <row r="375" spans="2:5" x14ac:dyDescent="0.3">
      <c r="B375" s="4" t="s">
        <v>100</v>
      </c>
      <c r="C375" s="3">
        <f>IF(AND(ISNUMBER(MATCH('Journal - Main'!$E375,Lookups!$K$5:$K$16,0))=FALSE,OR(MID('Journal - Main'!N375,4,1)="C",MID('Journal - Main'!N375,4,1)="D")),LEFT('Journal - Main'!N375,2),Input!$B$6)</f>
        <v>20</v>
      </c>
      <c r="E375" s="32" t="s">
        <v>102</v>
      </c>
    </row>
    <row r="376" spans="2:5" x14ac:dyDescent="0.3">
      <c r="B376" s="4" t="s">
        <v>100</v>
      </c>
      <c r="C376" s="3">
        <f>IF(AND(ISNUMBER(MATCH('Journal - Main'!$E376,Lookups!$K$5:$K$16,0))=FALSE,OR(MID('Journal - Main'!N376,4,1)="C",MID('Journal - Main'!N376,4,1)="D")),LEFT('Journal - Main'!N376,2),Input!$B$6)</f>
        <v>20</v>
      </c>
      <c r="E376" s="32" t="s">
        <v>102</v>
      </c>
    </row>
    <row r="377" spans="2:5" x14ac:dyDescent="0.3">
      <c r="B377" s="4" t="s">
        <v>100</v>
      </c>
      <c r="C377" s="3">
        <f>IF(AND(ISNUMBER(MATCH('Journal - Main'!$E377,Lookups!$K$5:$K$16,0))=FALSE,OR(MID('Journal - Main'!N377,4,1)="C",MID('Journal - Main'!N377,4,1)="D")),LEFT('Journal - Main'!N377,2),Input!$B$6)</f>
        <v>20</v>
      </c>
      <c r="E377" s="32" t="s">
        <v>102</v>
      </c>
    </row>
    <row r="378" spans="2:5" x14ac:dyDescent="0.3">
      <c r="B378" s="4" t="s">
        <v>100</v>
      </c>
      <c r="C378" s="3">
        <f>IF(AND(ISNUMBER(MATCH('Journal - Main'!$E378,Lookups!$K$5:$K$16,0))=FALSE,OR(MID('Journal - Main'!N378,4,1)="C",MID('Journal - Main'!N378,4,1)="D")),LEFT('Journal - Main'!N378,2),Input!$B$6)</f>
        <v>20</v>
      </c>
      <c r="E378" s="32" t="s">
        <v>102</v>
      </c>
    </row>
    <row r="379" spans="2:5" x14ac:dyDescent="0.3">
      <c r="B379" s="4" t="s">
        <v>100</v>
      </c>
      <c r="C379" s="3">
        <f>IF(AND(ISNUMBER(MATCH('Journal - Main'!$E379,Lookups!$K$5:$K$16,0))=FALSE,OR(MID('Journal - Main'!N379,4,1)="C",MID('Journal - Main'!N379,4,1)="D")),LEFT('Journal - Main'!N379,2),Input!$B$6)</f>
        <v>20</v>
      </c>
      <c r="E379" s="32" t="s">
        <v>102</v>
      </c>
    </row>
    <row r="380" spans="2:5" x14ac:dyDescent="0.3">
      <c r="B380" s="4" t="s">
        <v>100</v>
      </c>
      <c r="C380" s="3">
        <f>IF(AND(ISNUMBER(MATCH('Journal - Main'!$E380,Lookups!$K$5:$K$16,0))=FALSE,OR(MID('Journal - Main'!N380,4,1)="C",MID('Journal - Main'!N380,4,1)="D")),LEFT('Journal - Main'!N380,2),Input!$B$6)</f>
        <v>20</v>
      </c>
      <c r="E380" s="32" t="s">
        <v>102</v>
      </c>
    </row>
    <row r="381" spans="2:5" x14ac:dyDescent="0.3">
      <c r="B381" s="4" t="s">
        <v>100</v>
      </c>
      <c r="C381" s="3">
        <f>IF(AND(ISNUMBER(MATCH('Journal - Main'!$E381,Lookups!$K$5:$K$16,0))=FALSE,OR(MID('Journal - Main'!N381,4,1)="C",MID('Journal - Main'!N381,4,1)="D")),LEFT('Journal - Main'!N381,2),Input!$B$6)</f>
        <v>20</v>
      </c>
      <c r="E381" s="32" t="s">
        <v>102</v>
      </c>
    </row>
    <row r="382" spans="2:5" x14ac:dyDescent="0.3">
      <c r="B382" s="4" t="s">
        <v>100</v>
      </c>
      <c r="C382" s="3">
        <f>IF(AND(ISNUMBER(MATCH('Journal - Main'!$E382,Lookups!$K$5:$K$16,0))=FALSE,OR(MID('Journal - Main'!N382,4,1)="C",MID('Journal - Main'!N382,4,1)="D")),LEFT('Journal - Main'!N382,2),Input!$B$6)</f>
        <v>20</v>
      </c>
      <c r="E382" s="32" t="s">
        <v>102</v>
      </c>
    </row>
    <row r="383" spans="2:5" x14ac:dyDescent="0.3">
      <c r="B383" s="4" t="s">
        <v>100</v>
      </c>
      <c r="C383" s="3">
        <f>IF(AND(ISNUMBER(MATCH('Journal - Main'!$E383,Lookups!$K$5:$K$16,0))=FALSE,OR(MID('Journal - Main'!N383,4,1)="C",MID('Journal - Main'!N383,4,1)="D")),LEFT('Journal - Main'!N383,2),Input!$B$6)</f>
        <v>20</v>
      </c>
      <c r="E383" s="32" t="s">
        <v>102</v>
      </c>
    </row>
    <row r="384" spans="2:5" x14ac:dyDescent="0.3">
      <c r="B384" s="4" t="s">
        <v>100</v>
      </c>
      <c r="C384" s="3">
        <f>IF(AND(ISNUMBER(MATCH('Journal - Main'!$E384,Lookups!$K$5:$K$16,0))=FALSE,OR(MID('Journal - Main'!N384,4,1)="C",MID('Journal - Main'!N384,4,1)="D")),LEFT('Journal - Main'!N384,2),Input!$B$6)</f>
        <v>20</v>
      </c>
      <c r="E384" s="32" t="s">
        <v>102</v>
      </c>
    </row>
    <row r="385" spans="2:5" x14ac:dyDescent="0.3">
      <c r="B385" s="4" t="s">
        <v>100</v>
      </c>
      <c r="C385" s="3">
        <f>IF(AND(ISNUMBER(MATCH('Journal - Main'!$E385,Lookups!$K$5:$K$16,0))=FALSE,OR(MID('Journal - Main'!N385,4,1)="C",MID('Journal - Main'!N385,4,1)="D")),LEFT('Journal - Main'!N385,2),Input!$B$6)</f>
        <v>20</v>
      </c>
      <c r="E385" s="32" t="s">
        <v>102</v>
      </c>
    </row>
    <row r="386" spans="2:5" x14ac:dyDescent="0.3">
      <c r="B386" s="4" t="s">
        <v>100</v>
      </c>
      <c r="C386" s="3">
        <f>IF(AND(ISNUMBER(MATCH('Journal - Main'!$E386,Lookups!$K$5:$K$16,0))=FALSE,OR(MID('Journal - Main'!N386,4,1)="C",MID('Journal - Main'!N386,4,1)="D")),LEFT('Journal - Main'!N386,2),Input!$B$6)</f>
        <v>20</v>
      </c>
      <c r="E386" s="32" t="s">
        <v>102</v>
      </c>
    </row>
    <row r="387" spans="2:5" x14ac:dyDescent="0.3">
      <c r="B387" s="4" t="s">
        <v>100</v>
      </c>
      <c r="C387" s="3">
        <f>IF(AND(ISNUMBER(MATCH('Journal - Main'!$E387,Lookups!$K$5:$K$16,0))=FALSE,OR(MID('Journal - Main'!N387,4,1)="C",MID('Journal - Main'!N387,4,1)="D")),LEFT('Journal - Main'!N387,2),Input!$B$6)</f>
        <v>20</v>
      </c>
      <c r="E387" s="32" t="s">
        <v>102</v>
      </c>
    </row>
    <row r="388" spans="2:5" x14ac:dyDescent="0.3">
      <c r="B388" s="4" t="s">
        <v>100</v>
      </c>
      <c r="C388" s="3">
        <f>IF(AND(ISNUMBER(MATCH('Journal - Main'!$E388,Lookups!$K$5:$K$16,0))=FALSE,OR(MID('Journal - Main'!N388,4,1)="C",MID('Journal - Main'!N388,4,1)="D")),LEFT('Journal - Main'!N388,2),Input!$B$6)</f>
        <v>20</v>
      </c>
      <c r="E388" s="32" t="s">
        <v>102</v>
      </c>
    </row>
    <row r="389" spans="2:5" x14ac:dyDescent="0.3">
      <c r="B389" s="4" t="s">
        <v>100</v>
      </c>
      <c r="C389" s="3">
        <f>IF(AND(ISNUMBER(MATCH('Journal - Main'!$E389,Lookups!$K$5:$K$16,0))=FALSE,OR(MID('Journal - Main'!N389,4,1)="C",MID('Journal - Main'!N389,4,1)="D")),LEFT('Journal - Main'!N389,2),Input!$B$6)</f>
        <v>20</v>
      </c>
      <c r="E389" s="32" t="s">
        <v>102</v>
      </c>
    </row>
    <row r="390" spans="2:5" x14ac:dyDescent="0.3">
      <c r="B390" s="4" t="s">
        <v>100</v>
      </c>
      <c r="C390" s="3">
        <f>IF(AND(ISNUMBER(MATCH('Journal - Main'!$E390,Lookups!$K$5:$K$16,0))=FALSE,OR(MID('Journal - Main'!N390,4,1)="C",MID('Journal - Main'!N390,4,1)="D")),LEFT('Journal - Main'!N390,2),Input!$B$6)</f>
        <v>20</v>
      </c>
      <c r="E390" s="32" t="s">
        <v>102</v>
      </c>
    </row>
    <row r="391" spans="2:5" x14ac:dyDescent="0.3">
      <c r="B391" s="4" t="s">
        <v>100</v>
      </c>
      <c r="C391" s="3">
        <f>IF(AND(ISNUMBER(MATCH('Journal - Main'!$E391,Lookups!$K$5:$K$16,0))=FALSE,OR(MID('Journal - Main'!N391,4,1)="C",MID('Journal - Main'!N391,4,1)="D")),LEFT('Journal - Main'!N391,2),Input!$B$6)</f>
        <v>20</v>
      </c>
      <c r="E391" s="32" t="s">
        <v>102</v>
      </c>
    </row>
    <row r="392" spans="2:5" x14ac:dyDescent="0.3">
      <c r="B392" s="4" t="s">
        <v>100</v>
      </c>
      <c r="C392" s="3">
        <f>IF(AND(ISNUMBER(MATCH('Journal - Main'!$E392,Lookups!$K$5:$K$16,0))=FALSE,OR(MID('Journal - Main'!N392,4,1)="C",MID('Journal - Main'!N392,4,1)="D")),LEFT('Journal - Main'!N392,2),Input!$B$6)</f>
        <v>20</v>
      </c>
      <c r="E392" s="32" t="s">
        <v>102</v>
      </c>
    </row>
    <row r="393" spans="2:5" x14ac:dyDescent="0.3">
      <c r="B393" s="4" t="s">
        <v>100</v>
      </c>
      <c r="C393" s="3">
        <f>IF(AND(ISNUMBER(MATCH('Journal - Main'!$E393,Lookups!$K$5:$K$16,0))=FALSE,OR(MID('Journal - Main'!N393,4,1)="C",MID('Journal - Main'!N393,4,1)="D")),LEFT('Journal - Main'!N393,2),Input!$B$6)</f>
        <v>20</v>
      </c>
      <c r="E393" s="32" t="s">
        <v>102</v>
      </c>
    </row>
    <row r="394" spans="2:5" x14ac:dyDescent="0.3">
      <c r="B394" s="4" t="s">
        <v>100</v>
      </c>
      <c r="C394" s="3">
        <f>IF(AND(ISNUMBER(MATCH('Journal - Main'!$E394,Lookups!$K$5:$K$16,0))=FALSE,OR(MID('Journal - Main'!N394,4,1)="C",MID('Journal - Main'!N394,4,1)="D")),LEFT('Journal - Main'!N394,2),Input!$B$6)</f>
        <v>20</v>
      </c>
      <c r="E394" s="32" t="s">
        <v>102</v>
      </c>
    </row>
    <row r="395" spans="2:5" x14ac:dyDescent="0.3">
      <c r="B395" s="4" t="s">
        <v>100</v>
      </c>
      <c r="C395" s="3">
        <f>IF(AND(ISNUMBER(MATCH('Journal - Main'!$E395,Lookups!$K$5:$K$16,0))=FALSE,OR(MID('Journal - Main'!N395,4,1)="C",MID('Journal - Main'!N395,4,1)="D")),LEFT('Journal - Main'!N395,2),Input!$B$6)</f>
        <v>20</v>
      </c>
      <c r="E395" s="32" t="s">
        <v>102</v>
      </c>
    </row>
    <row r="396" spans="2:5" x14ac:dyDescent="0.3">
      <c r="B396" s="4" t="s">
        <v>100</v>
      </c>
      <c r="C396" s="3">
        <f>IF(AND(ISNUMBER(MATCH('Journal - Main'!$E396,Lookups!$K$5:$K$16,0))=FALSE,OR(MID('Journal - Main'!N396,4,1)="C",MID('Journal - Main'!N396,4,1)="D")),LEFT('Journal - Main'!N396,2),Input!$B$6)</f>
        <v>20</v>
      </c>
      <c r="E396" s="32" t="s">
        <v>102</v>
      </c>
    </row>
    <row r="397" spans="2:5" x14ac:dyDescent="0.3">
      <c r="B397" s="4" t="s">
        <v>100</v>
      </c>
      <c r="C397" s="3">
        <f>IF(AND(ISNUMBER(MATCH('Journal - Main'!$E397,Lookups!$K$5:$K$16,0))=FALSE,OR(MID('Journal - Main'!N397,4,1)="C",MID('Journal - Main'!N397,4,1)="D")),LEFT('Journal - Main'!N397,2),Input!$B$6)</f>
        <v>20</v>
      </c>
      <c r="E397" s="32" t="s">
        <v>102</v>
      </c>
    </row>
    <row r="398" spans="2:5" x14ac:dyDescent="0.3">
      <c r="B398" s="4" t="s">
        <v>100</v>
      </c>
      <c r="C398" s="3">
        <f>IF(AND(ISNUMBER(MATCH('Journal - Main'!$E398,Lookups!$K$5:$K$16,0))=FALSE,OR(MID('Journal - Main'!N398,4,1)="C",MID('Journal - Main'!N398,4,1)="D")),LEFT('Journal - Main'!N398,2),Input!$B$6)</f>
        <v>20</v>
      </c>
      <c r="E398" s="32" t="s">
        <v>102</v>
      </c>
    </row>
    <row r="399" spans="2:5" x14ac:dyDescent="0.3">
      <c r="B399" s="4" t="s">
        <v>100</v>
      </c>
      <c r="C399" s="3">
        <f>IF(AND(ISNUMBER(MATCH('Journal - Main'!$E399,Lookups!$K$5:$K$16,0))=FALSE,OR(MID('Journal - Main'!N399,4,1)="C",MID('Journal - Main'!N399,4,1)="D")),LEFT('Journal - Main'!N399,2),Input!$B$6)</f>
        <v>20</v>
      </c>
      <c r="E399" s="32" t="s">
        <v>102</v>
      </c>
    </row>
    <row r="400" spans="2:5" x14ac:dyDescent="0.3">
      <c r="B400" s="4" t="s">
        <v>100</v>
      </c>
      <c r="C400" s="3">
        <f>IF(AND(ISNUMBER(MATCH('Journal - Main'!$E400,Lookups!$K$5:$K$16,0))=FALSE,OR(MID('Journal - Main'!N400,4,1)="C",MID('Journal - Main'!N400,4,1)="D")),LEFT('Journal - Main'!N400,2),Input!$B$6)</f>
        <v>20</v>
      </c>
      <c r="E400" s="32" t="s">
        <v>102</v>
      </c>
    </row>
    <row r="401" spans="2:5" x14ac:dyDescent="0.3">
      <c r="B401" s="4" t="s">
        <v>100</v>
      </c>
      <c r="C401" s="3">
        <f>IF(AND(ISNUMBER(MATCH('Journal - Main'!$E401,Lookups!$K$5:$K$16,0))=FALSE,OR(MID('Journal - Main'!N401,4,1)="C",MID('Journal - Main'!N401,4,1)="D")),LEFT('Journal - Main'!N401,2),Input!$B$6)</f>
        <v>20</v>
      </c>
      <c r="E401" s="32" t="s">
        <v>102</v>
      </c>
    </row>
    <row r="402" spans="2:5" x14ac:dyDescent="0.3">
      <c r="B402" s="4" t="s">
        <v>100</v>
      </c>
      <c r="C402" s="3">
        <f>IF(AND(ISNUMBER(MATCH('Journal - Main'!$E402,Lookups!$K$5:$K$16,0))=FALSE,OR(MID('Journal - Main'!N402,4,1)="C",MID('Journal - Main'!N402,4,1)="D")),LEFT('Journal - Main'!N402,2),Input!$B$6)</f>
        <v>20</v>
      </c>
      <c r="E402" s="32" t="s">
        <v>102</v>
      </c>
    </row>
    <row r="403" spans="2:5" x14ac:dyDescent="0.3">
      <c r="B403" s="4" t="s">
        <v>100</v>
      </c>
      <c r="C403" s="3">
        <f>IF(AND(ISNUMBER(MATCH('Journal - Main'!$E403,Lookups!$K$5:$K$16,0))=FALSE,OR(MID('Journal - Main'!N403,4,1)="C",MID('Journal - Main'!N403,4,1)="D")),LEFT('Journal - Main'!N403,2),Input!$B$6)</f>
        <v>20</v>
      </c>
      <c r="E403" s="32" t="s">
        <v>102</v>
      </c>
    </row>
    <row r="404" spans="2:5" x14ac:dyDescent="0.3">
      <c r="B404" s="4" t="s">
        <v>100</v>
      </c>
      <c r="C404" s="3">
        <f>IF(AND(ISNUMBER(MATCH('Journal - Main'!$E404,Lookups!$K$5:$K$16,0))=FALSE,OR(MID('Journal - Main'!N404,4,1)="C",MID('Journal - Main'!N404,4,1)="D")),LEFT('Journal - Main'!N404,2),Input!$B$6)</f>
        <v>20</v>
      </c>
      <c r="E404" s="32" t="s">
        <v>102</v>
      </c>
    </row>
    <row r="405" spans="2:5" x14ac:dyDescent="0.3">
      <c r="B405" s="4" t="s">
        <v>100</v>
      </c>
      <c r="C405" s="3">
        <f>IF(AND(ISNUMBER(MATCH('Journal - Main'!$E405,Lookups!$K$5:$K$16,0))=FALSE,OR(MID('Journal - Main'!N405,4,1)="C",MID('Journal - Main'!N405,4,1)="D")),LEFT('Journal - Main'!N405,2),Input!$B$6)</f>
        <v>20</v>
      </c>
      <c r="E405" s="32" t="s">
        <v>102</v>
      </c>
    </row>
    <row r="406" spans="2:5" x14ac:dyDescent="0.3">
      <c r="B406" s="4" t="s">
        <v>100</v>
      </c>
      <c r="C406" s="3">
        <f>IF(AND(ISNUMBER(MATCH('Journal - Main'!$E406,Lookups!$K$5:$K$16,0))=FALSE,OR(MID('Journal - Main'!N406,4,1)="C",MID('Journal - Main'!N406,4,1)="D")),LEFT('Journal - Main'!N406,2),Input!$B$6)</f>
        <v>20</v>
      </c>
      <c r="E406" s="32" t="s">
        <v>102</v>
      </c>
    </row>
    <row r="407" spans="2:5" x14ac:dyDescent="0.3">
      <c r="B407" s="4" t="s">
        <v>100</v>
      </c>
      <c r="C407" s="3">
        <f>IF(AND(ISNUMBER(MATCH('Journal - Main'!$E407,Lookups!$K$5:$K$16,0))=FALSE,OR(MID('Journal - Main'!N407,4,1)="C",MID('Journal - Main'!N407,4,1)="D")),LEFT('Journal - Main'!N407,2),Input!$B$6)</f>
        <v>20</v>
      </c>
      <c r="E407" s="32" t="s">
        <v>102</v>
      </c>
    </row>
    <row r="408" spans="2:5" x14ac:dyDescent="0.3">
      <c r="B408" s="4" t="s">
        <v>100</v>
      </c>
      <c r="C408" s="3">
        <f>IF(AND(ISNUMBER(MATCH('Journal - Main'!$E408,Lookups!$K$5:$K$16,0))=FALSE,OR(MID('Journal - Main'!N408,4,1)="C",MID('Journal - Main'!N408,4,1)="D")),LEFT('Journal - Main'!N408,2),Input!$B$6)</f>
        <v>20</v>
      </c>
      <c r="E408" s="32" t="s">
        <v>102</v>
      </c>
    </row>
    <row r="409" spans="2:5" x14ac:dyDescent="0.3">
      <c r="B409" s="4" t="s">
        <v>100</v>
      </c>
      <c r="C409" s="3">
        <f>IF(AND(ISNUMBER(MATCH('Journal - Main'!$E409,Lookups!$K$5:$K$16,0))=FALSE,OR(MID('Journal - Main'!N409,4,1)="C",MID('Journal - Main'!N409,4,1)="D")),LEFT('Journal - Main'!N409,2),Input!$B$6)</f>
        <v>20</v>
      </c>
      <c r="E409" s="32" t="s">
        <v>102</v>
      </c>
    </row>
    <row r="410" spans="2:5" x14ac:dyDescent="0.3">
      <c r="B410" s="4" t="s">
        <v>100</v>
      </c>
      <c r="C410" s="3">
        <f>IF(AND(ISNUMBER(MATCH('Journal - Main'!$E410,Lookups!$K$5:$K$16,0))=FALSE,OR(MID('Journal - Main'!N410,4,1)="C",MID('Journal - Main'!N410,4,1)="D")),LEFT('Journal - Main'!N410,2),Input!$B$6)</f>
        <v>20</v>
      </c>
      <c r="E410" s="32" t="s">
        <v>102</v>
      </c>
    </row>
    <row r="411" spans="2:5" x14ac:dyDescent="0.3">
      <c r="B411" s="4" t="s">
        <v>100</v>
      </c>
      <c r="C411" s="3">
        <f>IF(AND(ISNUMBER(MATCH('Journal - Main'!$E411,Lookups!$K$5:$K$16,0))=FALSE,OR(MID('Journal - Main'!N411,4,1)="C",MID('Journal - Main'!N411,4,1)="D")),LEFT('Journal - Main'!N411,2),Input!$B$6)</f>
        <v>20</v>
      </c>
      <c r="E411" s="32" t="s">
        <v>102</v>
      </c>
    </row>
    <row r="412" spans="2:5" x14ac:dyDescent="0.3">
      <c r="B412" s="4" t="s">
        <v>100</v>
      </c>
      <c r="C412" s="3">
        <f>IF(AND(ISNUMBER(MATCH('Journal - Main'!$E412,Lookups!$K$5:$K$16,0))=FALSE,OR(MID('Journal - Main'!N412,4,1)="C",MID('Journal - Main'!N412,4,1)="D")),LEFT('Journal - Main'!N412,2),Input!$B$6)</f>
        <v>20</v>
      </c>
      <c r="E412" s="32" t="s">
        <v>102</v>
      </c>
    </row>
    <row r="413" spans="2:5" x14ac:dyDescent="0.3">
      <c r="B413" s="4" t="s">
        <v>100</v>
      </c>
      <c r="C413" s="3">
        <f>IF(AND(ISNUMBER(MATCH('Journal - Main'!$E413,Lookups!$K$5:$K$16,0))=FALSE,OR(MID('Journal - Main'!N413,4,1)="C",MID('Journal - Main'!N413,4,1)="D")),LEFT('Journal - Main'!N413,2),Input!$B$6)</f>
        <v>20</v>
      </c>
      <c r="E413" s="32" t="s">
        <v>102</v>
      </c>
    </row>
    <row r="414" spans="2:5" x14ac:dyDescent="0.3">
      <c r="B414" s="4" t="s">
        <v>100</v>
      </c>
      <c r="C414" s="3">
        <f>IF(AND(ISNUMBER(MATCH('Journal - Main'!$E414,Lookups!$K$5:$K$16,0))=FALSE,OR(MID('Journal - Main'!N414,4,1)="C",MID('Journal - Main'!N414,4,1)="D")),LEFT('Journal - Main'!N414,2),Input!$B$6)</f>
        <v>20</v>
      </c>
      <c r="E414" s="32" t="s">
        <v>102</v>
      </c>
    </row>
    <row r="415" spans="2:5" x14ac:dyDescent="0.3">
      <c r="B415" s="4" t="s">
        <v>100</v>
      </c>
      <c r="C415" s="3">
        <f>IF(AND(ISNUMBER(MATCH('Journal - Main'!$E415,Lookups!$K$5:$K$16,0))=FALSE,OR(MID('Journal - Main'!N415,4,1)="C",MID('Journal - Main'!N415,4,1)="D")),LEFT('Journal - Main'!N415,2),Input!$B$6)</f>
        <v>20</v>
      </c>
      <c r="E415" s="32" t="s">
        <v>102</v>
      </c>
    </row>
    <row r="416" spans="2:5" x14ac:dyDescent="0.3">
      <c r="B416" s="4" t="s">
        <v>100</v>
      </c>
      <c r="C416" s="3">
        <f>IF(AND(ISNUMBER(MATCH('Journal - Main'!$E416,Lookups!$K$5:$K$16,0))=FALSE,OR(MID('Journal - Main'!N416,4,1)="C",MID('Journal - Main'!N416,4,1)="D")),LEFT('Journal - Main'!N416,2),Input!$B$6)</f>
        <v>20</v>
      </c>
      <c r="E416" s="32" t="s">
        <v>102</v>
      </c>
    </row>
    <row r="417" spans="2:5" x14ac:dyDescent="0.3">
      <c r="B417" s="4" t="s">
        <v>100</v>
      </c>
      <c r="C417" s="3">
        <f>IF(AND(ISNUMBER(MATCH('Journal - Main'!$E417,Lookups!$K$5:$K$16,0))=FALSE,OR(MID('Journal - Main'!N417,4,1)="C",MID('Journal - Main'!N417,4,1)="D")),LEFT('Journal - Main'!N417,2),Input!$B$6)</f>
        <v>20</v>
      </c>
      <c r="E417" s="32" t="s">
        <v>102</v>
      </c>
    </row>
    <row r="418" spans="2:5" x14ac:dyDescent="0.3">
      <c r="B418" s="4" t="s">
        <v>100</v>
      </c>
      <c r="C418" s="3">
        <f>IF(AND(ISNUMBER(MATCH('Journal - Main'!$E418,Lookups!$K$5:$K$16,0))=FALSE,OR(MID('Journal - Main'!N418,4,1)="C",MID('Journal - Main'!N418,4,1)="D")),LEFT('Journal - Main'!N418,2),Input!$B$6)</f>
        <v>20</v>
      </c>
      <c r="E418" s="32" t="s">
        <v>102</v>
      </c>
    </row>
    <row r="419" spans="2:5" x14ac:dyDescent="0.3">
      <c r="B419" s="4" t="s">
        <v>100</v>
      </c>
      <c r="C419" s="3">
        <f>IF(AND(ISNUMBER(MATCH('Journal - Main'!$E419,Lookups!$K$5:$K$16,0))=FALSE,OR(MID('Journal - Main'!N419,4,1)="C",MID('Journal - Main'!N419,4,1)="D")),LEFT('Journal - Main'!N419,2),Input!$B$6)</f>
        <v>20</v>
      </c>
      <c r="E419" s="32" t="s">
        <v>102</v>
      </c>
    </row>
    <row r="420" spans="2:5" x14ac:dyDescent="0.3">
      <c r="B420" s="4" t="s">
        <v>100</v>
      </c>
      <c r="C420" s="3">
        <f>IF(AND(ISNUMBER(MATCH('Journal - Main'!$E420,Lookups!$K$5:$K$16,0))=FALSE,OR(MID('Journal - Main'!N420,4,1)="C",MID('Journal - Main'!N420,4,1)="D")),LEFT('Journal - Main'!N420,2),Input!$B$6)</f>
        <v>20</v>
      </c>
      <c r="E420" s="32" t="s">
        <v>102</v>
      </c>
    </row>
    <row r="421" spans="2:5" x14ac:dyDescent="0.3">
      <c r="B421" s="4" t="s">
        <v>100</v>
      </c>
      <c r="C421" s="3">
        <f>IF(AND(ISNUMBER(MATCH('Journal - Main'!$E421,Lookups!$K$5:$K$16,0))=FALSE,OR(MID('Journal - Main'!N421,4,1)="C",MID('Journal - Main'!N421,4,1)="D")),LEFT('Journal - Main'!N421,2),Input!$B$6)</f>
        <v>20</v>
      </c>
      <c r="E421" s="32" t="s">
        <v>102</v>
      </c>
    </row>
    <row r="422" spans="2:5" x14ac:dyDescent="0.3">
      <c r="B422" s="4" t="s">
        <v>100</v>
      </c>
      <c r="C422" s="3">
        <f>IF(AND(ISNUMBER(MATCH('Journal - Main'!$E422,Lookups!$K$5:$K$16,0))=FALSE,OR(MID('Journal - Main'!N422,4,1)="C",MID('Journal - Main'!N422,4,1)="D")),LEFT('Journal - Main'!N422,2),Input!$B$6)</f>
        <v>20</v>
      </c>
      <c r="E422" s="32" t="s">
        <v>102</v>
      </c>
    </row>
    <row r="423" spans="2:5" x14ac:dyDescent="0.3">
      <c r="B423" s="4" t="s">
        <v>100</v>
      </c>
      <c r="C423" s="3">
        <f>IF(AND(ISNUMBER(MATCH('Journal - Main'!$E423,Lookups!$K$5:$K$16,0))=FALSE,OR(MID('Journal - Main'!N423,4,1)="C",MID('Journal - Main'!N423,4,1)="D")),LEFT('Journal - Main'!N423,2),Input!$B$6)</f>
        <v>20</v>
      </c>
      <c r="E423" s="32" t="s">
        <v>102</v>
      </c>
    </row>
    <row r="424" spans="2:5" x14ac:dyDescent="0.3">
      <c r="B424" s="4" t="s">
        <v>100</v>
      </c>
      <c r="C424" s="3">
        <f>IF(AND(ISNUMBER(MATCH('Journal - Main'!$E424,Lookups!$K$5:$K$16,0))=FALSE,OR(MID('Journal - Main'!N424,4,1)="C",MID('Journal - Main'!N424,4,1)="D")),LEFT('Journal - Main'!N424,2),Input!$B$6)</f>
        <v>20</v>
      </c>
      <c r="E424" s="32" t="s">
        <v>102</v>
      </c>
    </row>
    <row r="425" spans="2:5" x14ac:dyDescent="0.3">
      <c r="B425" s="4" t="s">
        <v>100</v>
      </c>
      <c r="C425" s="3">
        <f>IF(AND(ISNUMBER(MATCH('Journal - Main'!$E425,Lookups!$K$5:$K$16,0))=FALSE,OR(MID('Journal - Main'!N425,4,1)="C",MID('Journal - Main'!N425,4,1)="D")),LEFT('Journal - Main'!N425,2),Input!$B$6)</f>
        <v>20</v>
      </c>
      <c r="E425" s="32" t="s">
        <v>102</v>
      </c>
    </row>
    <row r="426" spans="2:5" x14ac:dyDescent="0.3">
      <c r="B426" s="4" t="s">
        <v>100</v>
      </c>
      <c r="C426" s="3">
        <f>IF(AND(ISNUMBER(MATCH('Journal - Main'!$E426,Lookups!$K$5:$K$16,0))=FALSE,OR(MID('Journal - Main'!N426,4,1)="C",MID('Journal - Main'!N426,4,1)="D")),LEFT('Journal - Main'!N426,2),Input!$B$6)</f>
        <v>20</v>
      </c>
      <c r="E426" s="32" t="s">
        <v>102</v>
      </c>
    </row>
    <row r="427" spans="2:5" x14ac:dyDescent="0.3">
      <c r="B427" s="4" t="s">
        <v>100</v>
      </c>
      <c r="C427" s="3">
        <f>IF(AND(ISNUMBER(MATCH('Journal - Main'!$E427,Lookups!$K$5:$K$16,0))=FALSE,OR(MID('Journal - Main'!N427,4,1)="C",MID('Journal - Main'!N427,4,1)="D")),LEFT('Journal - Main'!N427,2),Input!$B$6)</f>
        <v>20</v>
      </c>
      <c r="E427" s="32" t="s">
        <v>102</v>
      </c>
    </row>
    <row r="428" spans="2:5" x14ac:dyDescent="0.3">
      <c r="B428" s="4" t="s">
        <v>100</v>
      </c>
      <c r="C428" s="3">
        <f>IF(AND(ISNUMBER(MATCH('Journal - Main'!$E428,Lookups!$K$5:$K$16,0))=FALSE,OR(MID('Journal - Main'!N428,4,1)="C",MID('Journal - Main'!N428,4,1)="D")),LEFT('Journal - Main'!N428,2),Input!$B$6)</f>
        <v>20</v>
      </c>
      <c r="E428" s="32" t="s">
        <v>102</v>
      </c>
    </row>
    <row r="429" spans="2:5" x14ac:dyDescent="0.3">
      <c r="B429" s="4" t="s">
        <v>100</v>
      </c>
      <c r="C429" s="3">
        <f>IF(AND(ISNUMBER(MATCH('Journal - Main'!$E429,Lookups!$K$5:$K$16,0))=FALSE,OR(MID('Journal - Main'!N429,4,1)="C",MID('Journal - Main'!N429,4,1)="D")),LEFT('Journal - Main'!N429,2),Input!$B$6)</f>
        <v>20</v>
      </c>
      <c r="E429" s="32" t="s">
        <v>102</v>
      </c>
    </row>
    <row r="430" spans="2:5" x14ac:dyDescent="0.3">
      <c r="B430" s="4" t="s">
        <v>100</v>
      </c>
      <c r="C430" s="3">
        <f>IF(AND(ISNUMBER(MATCH('Journal - Main'!$E430,Lookups!$K$5:$K$16,0))=FALSE,OR(MID('Journal - Main'!N430,4,1)="C",MID('Journal - Main'!N430,4,1)="D")),LEFT('Journal - Main'!N430,2),Input!$B$6)</f>
        <v>20</v>
      </c>
      <c r="E430" s="32" t="s">
        <v>102</v>
      </c>
    </row>
    <row r="431" spans="2:5" x14ac:dyDescent="0.3">
      <c r="B431" s="4" t="s">
        <v>100</v>
      </c>
      <c r="C431" s="3">
        <f>IF(AND(ISNUMBER(MATCH('Journal - Main'!$E431,Lookups!$K$5:$K$16,0))=FALSE,OR(MID('Journal - Main'!N431,4,1)="C",MID('Journal - Main'!N431,4,1)="D")),LEFT('Journal - Main'!N431,2),Input!$B$6)</f>
        <v>20</v>
      </c>
      <c r="E431" s="32" t="s">
        <v>102</v>
      </c>
    </row>
    <row r="432" spans="2:5" x14ac:dyDescent="0.3">
      <c r="B432" s="4" t="s">
        <v>100</v>
      </c>
      <c r="C432" s="3">
        <f>IF(AND(ISNUMBER(MATCH('Journal - Main'!$E432,Lookups!$K$5:$K$16,0))=FALSE,OR(MID('Journal - Main'!N432,4,1)="C",MID('Journal - Main'!N432,4,1)="D")),LEFT('Journal - Main'!N432,2),Input!$B$6)</f>
        <v>20</v>
      </c>
      <c r="E432" s="32" t="s">
        <v>102</v>
      </c>
    </row>
    <row r="433" spans="2:5" x14ac:dyDescent="0.3">
      <c r="B433" s="4" t="s">
        <v>100</v>
      </c>
      <c r="C433" s="3">
        <f>IF(AND(ISNUMBER(MATCH('Journal - Main'!$E433,Lookups!$K$5:$K$16,0))=FALSE,OR(MID('Journal - Main'!N433,4,1)="C",MID('Journal - Main'!N433,4,1)="D")),LEFT('Journal - Main'!N433,2),Input!$B$6)</f>
        <v>20</v>
      </c>
      <c r="E433" s="32" t="s">
        <v>102</v>
      </c>
    </row>
    <row r="434" spans="2:5" x14ac:dyDescent="0.3">
      <c r="B434" s="4" t="s">
        <v>100</v>
      </c>
      <c r="C434" s="3">
        <f>IF(AND(ISNUMBER(MATCH('Journal - Main'!$E434,Lookups!$K$5:$K$16,0))=FALSE,OR(MID('Journal - Main'!N434,4,1)="C",MID('Journal - Main'!N434,4,1)="D")),LEFT('Journal - Main'!N434,2),Input!$B$6)</f>
        <v>20</v>
      </c>
      <c r="E434" s="32" t="s">
        <v>102</v>
      </c>
    </row>
    <row r="435" spans="2:5" x14ac:dyDescent="0.3">
      <c r="B435" s="4" t="s">
        <v>100</v>
      </c>
      <c r="C435" s="3">
        <f>IF(AND(ISNUMBER(MATCH('Journal - Main'!$E435,Lookups!$K$5:$K$16,0))=FALSE,OR(MID('Journal - Main'!N435,4,1)="C",MID('Journal - Main'!N435,4,1)="D")),LEFT('Journal - Main'!N435,2),Input!$B$6)</f>
        <v>20</v>
      </c>
      <c r="E435" s="32" t="s">
        <v>102</v>
      </c>
    </row>
    <row r="436" spans="2:5" x14ac:dyDescent="0.3">
      <c r="B436" s="4" t="s">
        <v>100</v>
      </c>
      <c r="C436" s="3">
        <f>IF(AND(ISNUMBER(MATCH('Journal - Main'!$E436,Lookups!$K$5:$K$16,0))=FALSE,OR(MID('Journal - Main'!N436,4,1)="C",MID('Journal - Main'!N436,4,1)="D")),LEFT('Journal - Main'!N436,2),Input!$B$6)</f>
        <v>20</v>
      </c>
      <c r="E436" s="32" t="s">
        <v>102</v>
      </c>
    </row>
    <row r="437" spans="2:5" x14ac:dyDescent="0.3">
      <c r="B437" s="4" t="s">
        <v>100</v>
      </c>
      <c r="C437" s="3">
        <f>IF(AND(ISNUMBER(MATCH('Journal - Main'!$E437,Lookups!$K$5:$K$16,0))=FALSE,OR(MID('Journal - Main'!N437,4,1)="C",MID('Journal - Main'!N437,4,1)="D")),LEFT('Journal - Main'!N437,2),Input!$B$6)</f>
        <v>20</v>
      </c>
      <c r="E437" s="32" t="s">
        <v>102</v>
      </c>
    </row>
    <row r="438" spans="2:5" x14ac:dyDescent="0.3">
      <c r="B438" s="4" t="s">
        <v>100</v>
      </c>
      <c r="C438" s="3">
        <f>IF(AND(ISNUMBER(MATCH('Journal - Main'!$E438,Lookups!$K$5:$K$16,0))=FALSE,OR(MID('Journal - Main'!N438,4,1)="C",MID('Journal - Main'!N438,4,1)="D")),LEFT('Journal - Main'!N438,2),Input!$B$6)</f>
        <v>20</v>
      </c>
      <c r="E438" s="32" t="s">
        <v>102</v>
      </c>
    </row>
    <row r="439" spans="2:5" x14ac:dyDescent="0.3">
      <c r="B439" s="4" t="s">
        <v>100</v>
      </c>
      <c r="C439" s="3">
        <f>IF(AND(ISNUMBER(MATCH('Journal - Main'!$E439,Lookups!$K$5:$K$16,0))=FALSE,OR(MID('Journal - Main'!N439,4,1)="C",MID('Journal - Main'!N439,4,1)="D")),LEFT('Journal - Main'!N439,2),Input!$B$6)</f>
        <v>20</v>
      </c>
      <c r="E439" s="32" t="s">
        <v>102</v>
      </c>
    </row>
    <row r="440" spans="2:5" x14ac:dyDescent="0.3">
      <c r="B440" s="4" t="s">
        <v>100</v>
      </c>
      <c r="C440" s="3">
        <f>IF(AND(ISNUMBER(MATCH('Journal - Main'!$E440,Lookups!$K$5:$K$16,0))=FALSE,OR(MID('Journal - Main'!N440,4,1)="C",MID('Journal - Main'!N440,4,1)="D")),LEFT('Journal - Main'!N440,2),Input!$B$6)</f>
        <v>20</v>
      </c>
      <c r="E440" s="32" t="s">
        <v>102</v>
      </c>
    </row>
    <row r="441" spans="2:5" x14ac:dyDescent="0.3">
      <c r="B441" s="4" t="s">
        <v>100</v>
      </c>
      <c r="C441" s="3">
        <f>IF(AND(ISNUMBER(MATCH('Journal - Main'!$E441,Lookups!$K$5:$K$16,0))=FALSE,OR(MID('Journal - Main'!N441,4,1)="C",MID('Journal - Main'!N441,4,1)="D")),LEFT('Journal - Main'!N441,2),Input!$B$6)</f>
        <v>20</v>
      </c>
      <c r="E441" s="32" t="s">
        <v>102</v>
      </c>
    </row>
    <row r="442" spans="2:5" x14ac:dyDescent="0.3">
      <c r="B442" s="4" t="s">
        <v>100</v>
      </c>
      <c r="C442" s="3">
        <f>IF(AND(ISNUMBER(MATCH('Journal - Main'!$E442,Lookups!$K$5:$K$16,0))=FALSE,OR(MID('Journal - Main'!N442,4,1)="C",MID('Journal - Main'!N442,4,1)="D")),LEFT('Journal - Main'!N442,2),Input!$B$6)</f>
        <v>20</v>
      </c>
      <c r="E442" s="32" t="s">
        <v>102</v>
      </c>
    </row>
    <row r="443" spans="2:5" x14ac:dyDescent="0.3">
      <c r="B443" s="4" t="s">
        <v>100</v>
      </c>
      <c r="C443" s="3">
        <f>IF(AND(ISNUMBER(MATCH('Journal - Main'!$E443,Lookups!$K$5:$K$16,0))=FALSE,OR(MID('Journal - Main'!N443,4,1)="C",MID('Journal - Main'!N443,4,1)="D")),LEFT('Journal - Main'!N443,2),Input!$B$6)</f>
        <v>20</v>
      </c>
      <c r="E443" s="32" t="s">
        <v>102</v>
      </c>
    </row>
    <row r="444" spans="2:5" x14ac:dyDescent="0.3">
      <c r="B444" s="4" t="s">
        <v>100</v>
      </c>
      <c r="C444" s="3">
        <f>IF(AND(ISNUMBER(MATCH('Journal - Main'!$E444,Lookups!$K$5:$K$16,0))=FALSE,OR(MID('Journal - Main'!N444,4,1)="C",MID('Journal - Main'!N444,4,1)="D")),LEFT('Journal - Main'!N444,2),Input!$B$6)</f>
        <v>20</v>
      </c>
      <c r="E444" s="32" t="s">
        <v>102</v>
      </c>
    </row>
    <row r="445" spans="2:5" x14ac:dyDescent="0.3">
      <c r="B445" s="4" t="s">
        <v>100</v>
      </c>
      <c r="C445" s="3">
        <f>IF(AND(ISNUMBER(MATCH('Journal - Main'!$E445,Lookups!$K$5:$K$16,0))=FALSE,OR(MID('Journal - Main'!N445,4,1)="C",MID('Journal - Main'!N445,4,1)="D")),LEFT('Journal - Main'!N445,2),Input!$B$6)</f>
        <v>20</v>
      </c>
      <c r="E445" s="32" t="s">
        <v>102</v>
      </c>
    </row>
    <row r="446" spans="2:5" x14ac:dyDescent="0.3">
      <c r="B446" s="4" t="s">
        <v>100</v>
      </c>
      <c r="C446" s="3">
        <f>IF(AND(ISNUMBER(MATCH('Journal - Main'!$E446,Lookups!$K$5:$K$16,0))=FALSE,OR(MID('Journal - Main'!N446,4,1)="C",MID('Journal - Main'!N446,4,1)="D")),LEFT('Journal - Main'!N446,2),Input!$B$6)</f>
        <v>20</v>
      </c>
      <c r="E446" s="32" t="s">
        <v>102</v>
      </c>
    </row>
    <row r="447" spans="2:5" x14ac:dyDescent="0.3">
      <c r="B447" s="4" t="s">
        <v>100</v>
      </c>
      <c r="C447" s="3">
        <f>IF(AND(ISNUMBER(MATCH('Journal - Main'!$E447,Lookups!$K$5:$K$16,0))=FALSE,OR(MID('Journal - Main'!N447,4,1)="C",MID('Journal - Main'!N447,4,1)="D")),LEFT('Journal - Main'!N447,2),Input!$B$6)</f>
        <v>20</v>
      </c>
      <c r="E447" s="32" t="s">
        <v>102</v>
      </c>
    </row>
    <row r="448" spans="2:5" x14ac:dyDescent="0.3">
      <c r="B448" s="4" t="s">
        <v>100</v>
      </c>
      <c r="C448" s="3">
        <f>IF(AND(ISNUMBER(MATCH('Journal - Main'!$E448,Lookups!$K$5:$K$16,0))=FALSE,OR(MID('Journal - Main'!N448,4,1)="C",MID('Journal - Main'!N448,4,1)="D")),LEFT('Journal - Main'!N448,2),Input!$B$6)</f>
        <v>20</v>
      </c>
      <c r="E448" s="32" t="s">
        <v>102</v>
      </c>
    </row>
    <row r="449" spans="2:5" x14ac:dyDescent="0.3">
      <c r="B449" s="4" t="s">
        <v>100</v>
      </c>
      <c r="C449" s="3">
        <f>IF(AND(ISNUMBER(MATCH('Journal - Main'!$E449,Lookups!$K$5:$K$16,0))=FALSE,OR(MID('Journal - Main'!N449,4,1)="C",MID('Journal - Main'!N449,4,1)="D")),LEFT('Journal - Main'!N449,2),Input!$B$6)</f>
        <v>20</v>
      </c>
      <c r="E449" s="32" t="s">
        <v>102</v>
      </c>
    </row>
    <row r="450" spans="2:5" x14ac:dyDescent="0.3">
      <c r="B450" s="4" t="s">
        <v>100</v>
      </c>
      <c r="C450" s="3">
        <f>IF(AND(ISNUMBER(MATCH('Journal - Main'!$E450,Lookups!$K$5:$K$16,0))=FALSE,OR(MID('Journal - Main'!N450,4,1)="C",MID('Journal - Main'!N450,4,1)="D")),LEFT('Journal - Main'!N450,2),Input!$B$6)</f>
        <v>20</v>
      </c>
      <c r="E450" s="32" t="s">
        <v>102</v>
      </c>
    </row>
    <row r="451" spans="2:5" x14ac:dyDescent="0.3">
      <c r="B451" s="4" t="s">
        <v>100</v>
      </c>
      <c r="C451" s="3">
        <f>IF(AND(ISNUMBER(MATCH('Journal - Main'!$E451,Lookups!$K$5:$K$16,0))=FALSE,OR(MID('Journal - Main'!N451,4,1)="C",MID('Journal - Main'!N451,4,1)="D")),LEFT('Journal - Main'!N451,2),Input!$B$6)</f>
        <v>20</v>
      </c>
      <c r="E451" s="32" t="s">
        <v>102</v>
      </c>
    </row>
    <row r="452" spans="2:5" x14ac:dyDescent="0.3">
      <c r="B452" s="4" t="s">
        <v>100</v>
      </c>
      <c r="C452" s="3">
        <f>IF(AND(ISNUMBER(MATCH('Journal - Main'!$E452,Lookups!$K$5:$K$16,0))=FALSE,OR(MID('Journal - Main'!N452,4,1)="C",MID('Journal - Main'!N452,4,1)="D")),LEFT('Journal - Main'!N452,2),Input!$B$6)</f>
        <v>20</v>
      </c>
      <c r="E452" s="32" t="s">
        <v>102</v>
      </c>
    </row>
    <row r="453" spans="2:5" x14ac:dyDescent="0.3">
      <c r="B453" s="4" t="s">
        <v>100</v>
      </c>
      <c r="C453" s="3">
        <f>IF(AND(ISNUMBER(MATCH('Journal - Main'!$E453,Lookups!$K$5:$K$16,0))=FALSE,OR(MID('Journal - Main'!N453,4,1)="C",MID('Journal - Main'!N453,4,1)="D")),LEFT('Journal - Main'!N453,2),Input!$B$6)</f>
        <v>20</v>
      </c>
      <c r="E453" s="32" t="s">
        <v>102</v>
      </c>
    </row>
    <row r="454" spans="2:5" x14ac:dyDescent="0.3">
      <c r="B454" s="4" t="s">
        <v>100</v>
      </c>
      <c r="C454" s="3">
        <f>IF(AND(ISNUMBER(MATCH('Journal - Main'!$E454,Lookups!$K$5:$K$16,0))=FALSE,OR(MID('Journal - Main'!N454,4,1)="C",MID('Journal - Main'!N454,4,1)="D")),LEFT('Journal - Main'!N454,2),Input!$B$6)</f>
        <v>20</v>
      </c>
      <c r="E454" s="32" t="s">
        <v>102</v>
      </c>
    </row>
    <row r="455" spans="2:5" x14ac:dyDescent="0.3">
      <c r="B455" s="4" t="s">
        <v>100</v>
      </c>
      <c r="C455" s="3">
        <f>IF(AND(ISNUMBER(MATCH('Journal - Main'!$E455,Lookups!$K$5:$K$16,0))=FALSE,OR(MID('Journal - Main'!N455,4,1)="C",MID('Journal - Main'!N455,4,1)="D")),LEFT('Journal - Main'!N455,2),Input!$B$6)</f>
        <v>20</v>
      </c>
      <c r="E455" s="32" t="s">
        <v>102</v>
      </c>
    </row>
    <row r="456" spans="2:5" x14ac:dyDescent="0.3">
      <c r="B456" s="4" t="s">
        <v>100</v>
      </c>
      <c r="C456" s="3">
        <f>IF(AND(ISNUMBER(MATCH('Journal - Main'!$E456,Lookups!$K$5:$K$16,0))=FALSE,OR(MID('Journal - Main'!N456,4,1)="C",MID('Journal - Main'!N456,4,1)="D")),LEFT('Journal - Main'!N456,2),Input!$B$6)</f>
        <v>20</v>
      </c>
      <c r="E456" s="32" t="s">
        <v>102</v>
      </c>
    </row>
    <row r="457" spans="2:5" x14ac:dyDescent="0.3">
      <c r="B457" s="4" t="s">
        <v>100</v>
      </c>
      <c r="C457" s="3">
        <f>IF(AND(ISNUMBER(MATCH('Journal - Main'!$E457,Lookups!$K$5:$K$16,0))=FALSE,OR(MID('Journal - Main'!N457,4,1)="C",MID('Journal - Main'!N457,4,1)="D")),LEFT('Journal - Main'!N457,2),Input!$B$6)</f>
        <v>20</v>
      </c>
      <c r="E457" s="32" t="s">
        <v>102</v>
      </c>
    </row>
    <row r="458" spans="2:5" x14ac:dyDescent="0.3">
      <c r="B458" s="4" t="s">
        <v>100</v>
      </c>
      <c r="C458" s="3">
        <f>IF(AND(ISNUMBER(MATCH('Journal - Main'!$E458,Lookups!$K$5:$K$16,0))=FALSE,OR(MID('Journal - Main'!N458,4,1)="C",MID('Journal - Main'!N458,4,1)="D")),LEFT('Journal - Main'!N458,2),Input!$B$6)</f>
        <v>20</v>
      </c>
      <c r="E458" s="32" t="s">
        <v>102</v>
      </c>
    </row>
    <row r="459" spans="2:5" x14ac:dyDescent="0.3">
      <c r="B459" s="4" t="s">
        <v>100</v>
      </c>
      <c r="C459" s="3">
        <f>IF(AND(ISNUMBER(MATCH('Journal - Main'!$E459,Lookups!$K$5:$K$16,0))=FALSE,OR(MID('Journal - Main'!N459,4,1)="C",MID('Journal - Main'!N459,4,1)="D")),LEFT('Journal - Main'!N459,2),Input!$B$6)</f>
        <v>20</v>
      </c>
      <c r="E459" s="32" t="s">
        <v>102</v>
      </c>
    </row>
    <row r="460" spans="2:5" x14ac:dyDescent="0.3">
      <c r="B460" s="4" t="s">
        <v>100</v>
      </c>
      <c r="C460" s="3">
        <f>IF(AND(ISNUMBER(MATCH('Journal - Main'!$E460,Lookups!$K$5:$K$16,0))=FALSE,OR(MID('Journal - Main'!N460,4,1)="C",MID('Journal - Main'!N460,4,1)="D")),LEFT('Journal - Main'!N460,2),Input!$B$6)</f>
        <v>20</v>
      </c>
      <c r="E460" s="32" t="s">
        <v>102</v>
      </c>
    </row>
    <row r="461" spans="2:5" x14ac:dyDescent="0.3">
      <c r="B461" s="4" t="s">
        <v>100</v>
      </c>
      <c r="C461" s="3">
        <f>IF(AND(ISNUMBER(MATCH('Journal - Main'!$E461,Lookups!$K$5:$K$16,0))=FALSE,OR(MID('Journal - Main'!N461,4,1)="C",MID('Journal - Main'!N461,4,1)="D")),LEFT('Journal - Main'!N461,2),Input!$B$6)</f>
        <v>20</v>
      </c>
      <c r="E461" s="32" t="s">
        <v>102</v>
      </c>
    </row>
    <row r="462" spans="2:5" x14ac:dyDescent="0.3">
      <c r="B462" s="4" t="s">
        <v>100</v>
      </c>
      <c r="C462" s="3">
        <f>IF(AND(ISNUMBER(MATCH('Journal - Main'!$E462,Lookups!$K$5:$K$16,0))=FALSE,OR(MID('Journal - Main'!N462,4,1)="C",MID('Journal - Main'!N462,4,1)="D")),LEFT('Journal - Main'!N462,2),Input!$B$6)</f>
        <v>20</v>
      </c>
      <c r="E462" s="32" t="s">
        <v>102</v>
      </c>
    </row>
    <row r="463" spans="2:5" x14ac:dyDescent="0.3">
      <c r="B463" s="4" t="s">
        <v>100</v>
      </c>
      <c r="C463" s="3">
        <f>IF(AND(ISNUMBER(MATCH('Journal - Main'!$E463,Lookups!$K$5:$K$16,0))=FALSE,OR(MID('Journal - Main'!N463,4,1)="C",MID('Journal - Main'!N463,4,1)="D")),LEFT('Journal - Main'!N463,2),Input!$B$6)</f>
        <v>20</v>
      </c>
      <c r="E463" s="32" t="s">
        <v>102</v>
      </c>
    </row>
    <row r="464" spans="2:5" x14ac:dyDescent="0.3">
      <c r="B464" s="4" t="s">
        <v>100</v>
      </c>
      <c r="C464" s="3">
        <f>IF(AND(ISNUMBER(MATCH('Journal - Main'!$E464,Lookups!$K$5:$K$16,0))=FALSE,OR(MID('Journal - Main'!N464,4,1)="C",MID('Journal - Main'!N464,4,1)="D")),LEFT('Journal - Main'!N464,2),Input!$B$6)</f>
        <v>20</v>
      </c>
      <c r="E464" s="32" t="s">
        <v>102</v>
      </c>
    </row>
    <row r="465" spans="2:5" x14ac:dyDescent="0.3">
      <c r="B465" s="4" t="s">
        <v>100</v>
      </c>
      <c r="C465" s="3">
        <f>IF(AND(ISNUMBER(MATCH('Journal - Main'!$E465,Lookups!$K$5:$K$16,0))=FALSE,OR(MID('Journal - Main'!N465,4,1)="C",MID('Journal - Main'!N465,4,1)="D")),LEFT('Journal - Main'!N465,2),Input!$B$6)</f>
        <v>20</v>
      </c>
      <c r="E465" s="32" t="s">
        <v>102</v>
      </c>
    </row>
    <row r="466" spans="2:5" x14ac:dyDescent="0.3">
      <c r="B466" s="4" t="s">
        <v>100</v>
      </c>
      <c r="C466" s="3">
        <f>IF(AND(ISNUMBER(MATCH('Journal - Main'!$E466,Lookups!$K$5:$K$16,0))=FALSE,OR(MID('Journal - Main'!N466,4,1)="C",MID('Journal - Main'!N466,4,1)="D")),LEFT('Journal - Main'!N466,2),Input!$B$6)</f>
        <v>20</v>
      </c>
      <c r="E466" s="32" t="s">
        <v>102</v>
      </c>
    </row>
    <row r="467" spans="2:5" x14ac:dyDescent="0.3">
      <c r="B467" s="4" t="s">
        <v>100</v>
      </c>
      <c r="C467" s="3">
        <f>IF(AND(ISNUMBER(MATCH('Journal - Main'!$E467,Lookups!$K$5:$K$16,0))=FALSE,OR(MID('Journal - Main'!N467,4,1)="C",MID('Journal - Main'!N467,4,1)="D")),LEFT('Journal - Main'!N467,2),Input!$B$6)</f>
        <v>20</v>
      </c>
      <c r="E467" s="32" t="s">
        <v>102</v>
      </c>
    </row>
    <row r="468" spans="2:5" x14ac:dyDescent="0.3">
      <c r="B468" s="4" t="s">
        <v>100</v>
      </c>
      <c r="C468" s="3">
        <f>IF(AND(ISNUMBER(MATCH('Journal - Main'!$E468,Lookups!$K$5:$K$16,0))=FALSE,OR(MID('Journal - Main'!N468,4,1)="C",MID('Journal - Main'!N468,4,1)="D")),LEFT('Journal - Main'!N468,2),Input!$B$6)</f>
        <v>20</v>
      </c>
      <c r="E468" s="32" t="s">
        <v>102</v>
      </c>
    </row>
    <row r="469" spans="2:5" x14ac:dyDescent="0.3">
      <c r="B469" s="4" t="s">
        <v>100</v>
      </c>
      <c r="C469" s="3">
        <f>IF(AND(ISNUMBER(MATCH('Journal - Main'!$E469,Lookups!$K$5:$K$16,0))=FALSE,OR(MID('Journal - Main'!N469,4,1)="C",MID('Journal - Main'!N469,4,1)="D")),LEFT('Journal - Main'!N469,2),Input!$B$6)</f>
        <v>20</v>
      </c>
      <c r="E469" s="32" t="s">
        <v>102</v>
      </c>
    </row>
    <row r="470" spans="2:5" x14ac:dyDescent="0.3">
      <c r="B470" s="4" t="s">
        <v>100</v>
      </c>
      <c r="C470" s="3">
        <f>IF(AND(ISNUMBER(MATCH('Journal - Main'!$E470,Lookups!$K$5:$K$16,0))=FALSE,OR(MID('Journal - Main'!N470,4,1)="C",MID('Journal - Main'!N470,4,1)="D")),LEFT('Journal - Main'!N470,2),Input!$B$6)</f>
        <v>20</v>
      </c>
      <c r="E470" s="32" t="s">
        <v>102</v>
      </c>
    </row>
    <row r="471" spans="2:5" x14ac:dyDescent="0.3">
      <c r="B471" s="4" t="s">
        <v>100</v>
      </c>
      <c r="C471" s="3">
        <f>IF(AND(ISNUMBER(MATCH('Journal - Main'!$E471,Lookups!$K$5:$K$16,0))=FALSE,OR(MID('Journal - Main'!N471,4,1)="C",MID('Journal - Main'!N471,4,1)="D")),LEFT('Journal - Main'!N471,2),Input!$B$6)</f>
        <v>20</v>
      </c>
      <c r="E471" s="32" t="s">
        <v>102</v>
      </c>
    </row>
    <row r="472" spans="2:5" x14ac:dyDescent="0.3">
      <c r="B472" s="4" t="s">
        <v>100</v>
      </c>
      <c r="C472" s="3">
        <f>IF(AND(ISNUMBER(MATCH('Journal - Main'!$E472,Lookups!$K$5:$K$16,0))=FALSE,OR(MID('Journal - Main'!N472,4,1)="C",MID('Journal - Main'!N472,4,1)="D")),LEFT('Journal - Main'!N472,2),Input!$B$6)</f>
        <v>20</v>
      </c>
      <c r="E472" s="32" t="s">
        <v>102</v>
      </c>
    </row>
    <row r="473" spans="2:5" x14ac:dyDescent="0.3">
      <c r="B473" s="4" t="s">
        <v>100</v>
      </c>
      <c r="C473" s="3">
        <f>IF(AND(ISNUMBER(MATCH('Journal - Main'!$E473,Lookups!$K$5:$K$16,0))=FALSE,OR(MID('Journal - Main'!N473,4,1)="C",MID('Journal - Main'!N473,4,1)="D")),LEFT('Journal - Main'!N473,2),Input!$B$6)</f>
        <v>20</v>
      </c>
      <c r="E473" s="32" t="s">
        <v>102</v>
      </c>
    </row>
    <row r="474" spans="2:5" x14ac:dyDescent="0.3">
      <c r="B474" s="4" t="s">
        <v>100</v>
      </c>
      <c r="C474" s="3">
        <f>IF(AND(ISNUMBER(MATCH('Journal - Main'!$E474,Lookups!$K$5:$K$16,0))=FALSE,OR(MID('Journal - Main'!N474,4,1)="C",MID('Journal - Main'!N474,4,1)="D")),LEFT('Journal - Main'!N474,2),Input!$B$6)</f>
        <v>20</v>
      </c>
      <c r="E474" s="32" t="s">
        <v>102</v>
      </c>
    </row>
    <row r="475" spans="2:5" x14ac:dyDescent="0.3">
      <c r="B475" s="4" t="s">
        <v>100</v>
      </c>
      <c r="C475" s="3">
        <f>IF(AND(ISNUMBER(MATCH('Journal - Main'!$E475,Lookups!$K$5:$K$16,0))=FALSE,OR(MID('Journal - Main'!N475,4,1)="C",MID('Journal - Main'!N475,4,1)="D")),LEFT('Journal - Main'!N475,2),Input!$B$6)</f>
        <v>20</v>
      </c>
      <c r="E475" s="32" t="s">
        <v>102</v>
      </c>
    </row>
    <row r="476" spans="2:5" x14ac:dyDescent="0.3">
      <c r="B476" s="4" t="s">
        <v>100</v>
      </c>
      <c r="C476" s="3">
        <f>IF(AND(ISNUMBER(MATCH('Journal - Main'!$E476,Lookups!$K$5:$K$16,0))=FALSE,OR(MID('Journal - Main'!N476,4,1)="C",MID('Journal - Main'!N476,4,1)="D")),LEFT('Journal - Main'!N476,2),Input!$B$6)</f>
        <v>20</v>
      </c>
      <c r="E476" s="32" t="s">
        <v>102</v>
      </c>
    </row>
    <row r="477" spans="2:5" x14ac:dyDescent="0.3">
      <c r="B477" s="4" t="s">
        <v>100</v>
      </c>
      <c r="C477" s="3">
        <f>IF(AND(ISNUMBER(MATCH('Journal - Main'!$E477,Lookups!$K$5:$K$16,0))=FALSE,OR(MID('Journal - Main'!N477,4,1)="C",MID('Journal - Main'!N477,4,1)="D")),LEFT('Journal - Main'!N477,2),Input!$B$6)</f>
        <v>20</v>
      </c>
      <c r="E477" s="32" t="s">
        <v>102</v>
      </c>
    </row>
    <row r="478" spans="2:5" x14ac:dyDescent="0.3">
      <c r="B478" s="4" t="s">
        <v>100</v>
      </c>
      <c r="C478" s="3">
        <f>IF(AND(ISNUMBER(MATCH('Journal - Main'!$E478,Lookups!$K$5:$K$16,0))=FALSE,OR(MID('Journal - Main'!N478,4,1)="C",MID('Journal - Main'!N478,4,1)="D")),LEFT('Journal - Main'!N478,2),Input!$B$6)</f>
        <v>20</v>
      </c>
      <c r="E478" s="32" t="s">
        <v>102</v>
      </c>
    </row>
    <row r="479" spans="2:5" x14ac:dyDescent="0.3">
      <c r="B479" s="4" t="s">
        <v>100</v>
      </c>
      <c r="C479" s="3">
        <f>IF(AND(ISNUMBER(MATCH('Journal - Main'!$E479,Lookups!$K$5:$K$16,0))=FALSE,OR(MID('Journal - Main'!N479,4,1)="C",MID('Journal - Main'!N479,4,1)="D")),LEFT('Journal - Main'!N479,2),Input!$B$6)</f>
        <v>20</v>
      </c>
      <c r="E479" s="32" t="s">
        <v>102</v>
      </c>
    </row>
    <row r="480" spans="2:5" x14ac:dyDescent="0.3">
      <c r="B480" s="4" t="s">
        <v>100</v>
      </c>
      <c r="C480" s="3">
        <f>IF(AND(ISNUMBER(MATCH('Journal - Main'!$E480,Lookups!$K$5:$K$16,0))=FALSE,OR(MID('Journal - Main'!N480,4,1)="C",MID('Journal - Main'!N480,4,1)="D")),LEFT('Journal - Main'!N480,2),Input!$B$6)</f>
        <v>20</v>
      </c>
      <c r="E480" s="32" t="s">
        <v>102</v>
      </c>
    </row>
    <row r="481" spans="2:5" x14ac:dyDescent="0.3">
      <c r="B481" s="4" t="s">
        <v>100</v>
      </c>
      <c r="C481" s="3">
        <f>IF(AND(ISNUMBER(MATCH('Journal - Main'!$E481,Lookups!$K$5:$K$16,0))=FALSE,OR(MID('Journal - Main'!N481,4,1)="C",MID('Journal - Main'!N481,4,1)="D")),LEFT('Journal - Main'!N481,2),Input!$B$6)</f>
        <v>20</v>
      </c>
      <c r="E481" s="32" t="s">
        <v>102</v>
      </c>
    </row>
    <row r="482" spans="2:5" x14ac:dyDescent="0.3">
      <c r="B482" s="4" t="s">
        <v>100</v>
      </c>
      <c r="C482" s="3">
        <f>IF(AND(ISNUMBER(MATCH('Journal - Main'!$E482,Lookups!$K$5:$K$16,0))=FALSE,OR(MID('Journal - Main'!N482,4,1)="C",MID('Journal - Main'!N482,4,1)="D")),LEFT('Journal - Main'!N482,2),Input!$B$6)</f>
        <v>20</v>
      </c>
      <c r="E482" s="32" t="s">
        <v>102</v>
      </c>
    </row>
    <row r="483" spans="2:5" x14ac:dyDescent="0.3">
      <c r="B483" s="4" t="s">
        <v>100</v>
      </c>
      <c r="C483" s="3">
        <f>IF(AND(ISNUMBER(MATCH('Journal - Main'!$E483,Lookups!$K$5:$K$16,0))=FALSE,OR(MID('Journal - Main'!N483,4,1)="C",MID('Journal - Main'!N483,4,1)="D")),LEFT('Journal - Main'!N483,2),Input!$B$6)</f>
        <v>20</v>
      </c>
      <c r="E483" s="32" t="s">
        <v>102</v>
      </c>
    </row>
    <row r="484" spans="2:5" x14ac:dyDescent="0.3">
      <c r="B484" s="4" t="s">
        <v>100</v>
      </c>
      <c r="C484" s="3">
        <f>IF(AND(ISNUMBER(MATCH('Journal - Main'!$E484,Lookups!$K$5:$K$16,0))=FALSE,OR(MID('Journal - Main'!N484,4,1)="C",MID('Journal - Main'!N484,4,1)="D")),LEFT('Journal - Main'!N484,2),Input!$B$6)</f>
        <v>20</v>
      </c>
      <c r="E484" s="32" t="s">
        <v>102</v>
      </c>
    </row>
    <row r="485" spans="2:5" x14ac:dyDescent="0.3">
      <c r="B485" s="4" t="s">
        <v>100</v>
      </c>
      <c r="C485" s="3">
        <f>IF(AND(ISNUMBER(MATCH('Journal - Main'!$E485,Lookups!$K$5:$K$16,0))=FALSE,OR(MID('Journal - Main'!N485,4,1)="C",MID('Journal - Main'!N485,4,1)="D")),LEFT('Journal - Main'!N485,2),Input!$B$6)</f>
        <v>20</v>
      </c>
      <c r="E485" s="32" t="s">
        <v>102</v>
      </c>
    </row>
    <row r="486" spans="2:5" x14ac:dyDescent="0.3">
      <c r="B486" s="4" t="s">
        <v>100</v>
      </c>
      <c r="C486" s="3">
        <f>IF(AND(ISNUMBER(MATCH('Journal - Main'!$E486,Lookups!$K$5:$K$16,0))=FALSE,OR(MID('Journal - Main'!N486,4,1)="C",MID('Journal - Main'!N486,4,1)="D")),LEFT('Journal - Main'!N486,2),Input!$B$6)</f>
        <v>20</v>
      </c>
      <c r="E486" s="32" t="s">
        <v>102</v>
      </c>
    </row>
    <row r="487" spans="2:5" x14ac:dyDescent="0.3">
      <c r="B487" s="4" t="s">
        <v>100</v>
      </c>
      <c r="C487" s="3">
        <f>IF(AND(ISNUMBER(MATCH('Journal - Main'!$E487,Lookups!$K$5:$K$16,0))=FALSE,OR(MID('Journal - Main'!N487,4,1)="C",MID('Journal - Main'!N487,4,1)="D")),LEFT('Journal - Main'!N487,2),Input!$B$6)</f>
        <v>20</v>
      </c>
      <c r="E487" s="32" t="s">
        <v>102</v>
      </c>
    </row>
    <row r="488" spans="2:5" x14ac:dyDescent="0.3">
      <c r="B488" s="4" t="s">
        <v>100</v>
      </c>
      <c r="C488" s="3">
        <f>IF(AND(ISNUMBER(MATCH('Journal - Main'!$E488,Lookups!$K$5:$K$16,0))=FALSE,OR(MID('Journal - Main'!N488,4,1)="C",MID('Journal - Main'!N488,4,1)="D")),LEFT('Journal - Main'!N488,2),Input!$B$6)</f>
        <v>20</v>
      </c>
      <c r="E488" s="32" t="s">
        <v>102</v>
      </c>
    </row>
    <row r="489" spans="2:5" x14ac:dyDescent="0.3">
      <c r="B489" s="4" t="s">
        <v>100</v>
      </c>
      <c r="C489" s="3">
        <f>IF(AND(ISNUMBER(MATCH('Journal - Main'!$E489,Lookups!$K$5:$K$16,0))=FALSE,OR(MID('Journal - Main'!N489,4,1)="C",MID('Journal - Main'!N489,4,1)="D")),LEFT('Journal - Main'!N489,2),Input!$B$6)</f>
        <v>20</v>
      </c>
      <c r="E489" s="32" t="s">
        <v>102</v>
      </c>
    </row>
    <row r="490" spans="2:5" x14ac:dyDescent="0.3">
      <c r="B490" s="4" t="s">
        <v>100</v>
      </c>
      <c r="C490" s="3">
        <f>IF(AND(ISNUMBER(MATCH('Journal - Main'!$E490,Lookups!$K$5:$K$16,0))=FALSE,OR(MID('Journal - Main'!N490,4,1)="C",MID('Journal - Main'!N490,4,1)="D")),LEFT('Journal - Main'!N490,2),Input!$B$6)</f>
        <v>20</v>
      </c>
      <c r="E490" s="32" t="s">
        <v>102</v>
      </c>
    </row>
    <row r="491" spans="2:5" x14ac:dyDescent="0.3">
      <c r="B491" s="4" t="s">
        <v>100</v>
      </c>
      <c r="C491" s="3">
        <f>IF(AND(ISNUMBER(MATCH('Journal - Main'!$E491,Lookups!$K$5:$K$16,0))=FALSE,OR(MID('Journal - Main'!N491,4,1)="C",MID('Journal - Main'!N491,4,1)="D")),LEFT('Journal - Main'!N491,2),Input!$B$6)</f>
        <v>20</v>
      </c>
      <c r="E491" s="32" t="s">
        <v>102</v>
      </c>
    </row>
    <row r="492" spans="2:5" x14ac:dyDescent="0.3">
      <c r="B492" s="4" t="s">
        <v>100</v>
      </c>
      <c r="C492" s="3">
        <f>IF(AND(ISNUMBER(MATCH('Journal - Main'!$E492,Lookups!$K$5:$K$16,0))=FALSE,OR(MID('Journal - Main'!N492,4,1)="C",MID('Journal - Main'!N492,4,1)="D")),LEFT('Journal - Main'!N492,2),Input!$B$6)</f>
        <v>20</v>
      </c>
      <c r="E492" s="32" t="s">
        <v>102</v>
      </c>
    </row>
    <row r="493" spans="2:5" x14ac:dyDescent="0.3">
      <c r="B493" s="4" t="s">
        <v>100</v>
      </c>
      <c r="C493" s="3">
        <f>IF(AND(ISNUMBER(MATCH('Journal - Main'!$E493,Lookups!$K$5:$K$16,0))=FALSE,OR(MID('Journal - Main'!N493,4,1)="C",MID('Journal - Main'!N493,4,1)="D")),LEFT('Journal - Main'!N493,2),Input!$B$6)</f>
        <v>20</v>
      </c>
      <c r="E493" s="32" t="s">
        <v>102</v>
      </c>
    </row>
    <row r="494" spans="2:5" x14ac:dyDescent="0.3">
      <c r="B494" s="4" t="s">
        <v>100</v>
      </c>
      <c r="C494" s="3">
        <f>IF(AND(ISNUMBER(MATCH('Journal - Main'!$E494,Lookups!$K$5:$K$16,0))=FALSE,OR(MID('Journal - Main'!N494,4,1)="C",MID('Journal - Main'!N494,4,1)="D")),LEFT('Journal - Main'!N494,2),Input!$B$6)</f>
        <v>20</v>
      </c>
      <c r="E494" s="32" t="s">
        <v>102</v>
      </c>
    </row>
    <row r="495" spans="2:5" x14ac:dyDescent="0.3">
      <c r="B495" s="4" t="s">
        <v>100</v>
      </c>
      <c r="C495" s="3">
        <f>IF(AND(ISNUMBER(MATCH('Journal - Main'!$E495,Lookups!$K$5:$K$16,0))=FALSE,OR(MID('Journal - Main'!N495,4,1)="C",MID('Journal - Main'!N495,4,1)="D")),LEFT('Journal - Main'!N495,2),Input!$B$6)</f>
        <v>20</v>
      </c>
      <c r="E495" s="32" t="s">
        <v>102</v>
      </c>
    </row>
    <row r="496" spans="2:5" x14ac:dyDescent="0.3">
      <c r="B496" s="4" t="s">
        <v>100</v>
      </c>
      <c r="C496" s="3">
        <f>IF(AND(ISNUMBER(MATCH('Journal - Main'!$E496,Lookups!$K$5:$K$16,0))=FALSE,OR(MID('Journal - Main'!N496,4,1)="C",MID('Journal - Main'!N496,4,1)="D")),LEFT('Journal - Main'!N496,2),Input!$B$6)</f>
        <v>20</v>
      </c>
      <c r="E496" s="32" t="s">
        <v>102</v>
      </c>
    </row>
    <row r="497" spans="2:5" x14ac:dyDescent="0.3">
      <c r="B497" s="4" t="s">
        <v>100</v>
      </c>
      <c r="C497" s="3">
        <f>IF(AND(ISNUMBER(MATCH('Journal - Main'!$E497,Lookups!$K$5:$K$16,0))=FALSE,OR(MID('Journal - Main'!N497,4,1)="C",MID('Journal - Main'!N497,4,1)="D")),LEFT('Journal - Main'!N497,2),Input!$B$6)</f>
        <v>20</v>
      </c>
      <c r="E497" s="32" t="s">
        <v>102</v>
      </c>
    </row>
    <row r="498" spans="2:5" x14ac:dyDescent="0.3">
      <c r="B498" s="4" t="s">
        <v>100</v>
      </c>
      <c r="C498" s="3">
        <f>IF(AND(ISNUMBER(MATCH('Journal - Main'!$E498,Lookups!$K$5:$K$16,0))=FALSE,OR(MID('Journal - Main'!N498,4,1)="C",MID('Journal - Main'!N498,4,1)="D")),LEFT('Journal - Main'!N498,2),Input!$B$6)</f>
        <v>20</v>
      </c>
      <c r="E498" s="32" t="s">
        <v>102</v>
      </c>
    </row>
    <row r="499" spans="2:5" x14ac:dyDescent="0.3">
      <c r="B499" s="4" t="s">
        <v>100</v>
      </c>
      <c r="C499" s="3">
        <f>IF(AND(ISNUMBER(MATCH('Journal - Main'!$E499,Lookups!$K$5:$K$16,0))=FALSE,OR(MID('Journal - Main'!N499,4,1)="C",MID('Journal - Main'!N499,4,1)="D")),LEFT('Journal - Main'!N499,2),Input!$B$6)</f>
        <v>20</v>
      </c>
      <c r="E499" s="32" t="s">
        <v>102</v>
      </c>
    </row>
    <row r="500" spans="2:5" x14ac:dyDescent="0.3">
      <c r="B500" s="4" t="s">
        <v>100</v>
      </c>
      <c r="C500" s="3">
        <f>IF(AND(ISNUMBER(MATCH('Journal - Main'!$E500,Lookups!$K$5:$K$16,0))=FALSE,OR(MID('Journal - Main'!N500,4,1)="C",MID('Journal - Main'!N500,4,1)="D")),LEFT('Journal - Main'!N500,2),Input!$B$6)</f>
        <v>20</v>
      </c>
      <c r="E500" s="32" t="s">
        <v>102</v>
      </c>
    </row>
  </sheetData>
  <autoFilter ref="A1:X500" xr:uid="{CAA8B67C-DA3F-4046-9410-AA75E4411403}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F7F51-77BD-4328-ACCB-26673DA88E6F}">
  <sheetPr codeName="Sheet5"/>
  <dimension ref="A1"/>
  <sheetViews>
    <sheetView workbookViewId="0">
      <selection activeCell="G29" sqref="G29"/>
    </sheetView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194"/>
  <sheetViews>
    <sheetView zoomScale="85" zoomScaleNormal="85" workbookViewId="0">
      <selection activeCell="A2" sqref="A2:N64"/>
    </sheetView>
  </sheetViews>
  <sheetFormatPr defaultRowHeight="14.4" x14ac:dyDescent="0.3"/>
  <cols>
    <col min="1" max="1" width="18.21875" customWidth="1"/>
    <col min="2" max="2" width="14.44140625" customWidth="1"/>
    <col min="3" max="3" width="13.6640625" customWidth="1"/>
    <col min="4" max="4" width="12.44140625" customWidth="1"/>
    <col min="5" max="5" width="24.5546875" customWidth="1"/>
    <col min="6" max="6" width="60.44140625" customWidth="1"/>
    <col min="7" max="7" width="16.88671875" customWidth="1"/>
    <col min="8" max="8" width="10.88671875" customWidth="1"/>
    <col min="9" max="9" width="18.44140625" customWidth="1"/>
    <col min="10" max="10" width="17.5546875" customWidth="1"/>
    <col min="11" max="11" width="9.6640625" customWidth="1"/>
    <col min="12" max="12" width="41.6640625" customWidth="1"/>
    <col min="13" max="14" width="25.44140625" customWidth="1"/>
  </cols>
  <sheetData>
    <row r="1" spans="1:14" ht="48.6" customHeight="1" x14ac:dyDescent="0.3">
      <c r="A1" s="15" t="s">
        <v>31</v>
      </c>
      <c r="B1" s="15" t="s">
        <v>32</v>
      </c>
      <c r="C1" s="15" t="s">
        <v>33</v>
      </c>
      <c r="D1" s="15" t="s">
        <v>34</v>
      </c>
      <c r="E1" s="15" t="s">
        <v>35</v>
      </c>
      <c r="F1" s="15" t="s">
        <v>9</v>
      </c>
      <c r="G1" s="15" t="s">
        <v>18</v>
      </c>
      <c r="H1" s="15" t="s">
        <v>36</v>
      </c>
      <c r="I1" s="15" t="s">
        <v>37</v>
      </c>
      <c r="J1" s="15" t="s">
        <v>38</v>
      </c>
      <c r="K1" s="15" t="s">
        <v>22</v>
      </c>
      <c r="L1" s="15" t="s">
        <v>39</v>
      </c>
      <c r="M1" s="15" t="s">
        <v>40</v>
      </c>
      <c r="N1" s="15" t="s">
        <v>41</v>
      </c>
    </row>
    <row r="2" spans="1:14" x14ac:dyDescent="0.3">
      <c r="A2" s="11">
        <v>45343</v>
      </c>
      <c r="B2" s="17" t="s">
        <v>131</v>
      </c>
      <c r="C2" s="17" t="s">
        <v>117</v>
      </c>
      <c r="D2" s="17" t="s">
        <v>70</v>
      </c>
      <c r="E2" t="s">
        <v>71</v>
      </c>
      <c r="F2" t="s">
        <v>132</v>
      </c>
      <c r="G2">
        <v>-70816.009999999995</v>
      </c>
      <c r="I2" s="11">
        <v>45327</v>
      </c>
      <c r="J2" s="11">
        <v>45340</v>
      </c>
    </row>
    <row r="3" spans="1:14" x14ac:dyDescent="0.3">
      <c r="A3" s="11">
        <v>45343</v>
      </c>
      <c r="B3" s="17" t="s">
        <v>131</v>
      </c>
      <c r="C3" s="17" t="s">
        <v>117</v>
      </c>
      <c r="D3" s="17" t="s">
        <v>56</v>
      </c>
      <c r="E3" t="s">
        <v>57</v>
      </c>
      <c r="F3" t="s">
        <v>132</v>
      </c>
      <c r="G3">
        <v>-28802</v>
      </c>
      <c r="I3" s="11">
        <v>45327</v>
      </c>
      <c r="J3" s="11">
        <v>45340</v>
      </c>
    </row>
    <row r="4" spans="1:14" x14ac:dyDescent="0.3">
      <c r="A4" s="11">
        <v>45343</v>
      </c>
      <c r="B4" s="17" t="s">
        <v>131</v>
      </c>
      <c r="C4" s="17" t="s">
        <v>117</v>
      </c>
      <c r="D4" s="17" t="s">
        <v>76</v>
      </c>
      <c r="E4" t="s">
        <v>77</v>
      </c>
      <c r="F4" t="s">
        <v>133</v>
      </c>
      <c r="G4">
        <v>1143.45</v>
      </c>
      <c r="I4" s="11">
        <v>45327</v>
      </c>
      <c r="J4" s="11">
        <v>45340</v>
      </c>
      <c r="L4" t="s">
        <v>134</v>
      </c>
      <c r="N4" t="s">
        <v>135</v>
      </c>
    </row>
    <row r="5" spans="1:14" x14ac:dyDescent="0.3">
      <c r="A5" s="11">
        <v>45343</v>
      </c>
      <c r="B5" s="17" t="s">
        <v>131</v>
      </c>
      <c r="C5" s="17" t="s">
        <v>117</v>
      </c>
      <c r="D5" s="17" t="s">
        <v>68</v>
      </c>
      <c r="E5" t="s">
        <v>69</v>
      </c>
      <c r="F5" t="s">
        <v>136</v>
      </c>
      <c r="G5">
        <v>1303.52</v>
      </c>
      <c r="I5" s="11">
        <v>45327</v>
      </c>
      <c r="J5" s="11">
        <v>45340</v>
      </c>
      <c r="L5" t="s">
        <v>122</v>
      </c>
    </row>
    <row r="6" spans="1:14" x14ac:dyDescent="0.3">
      <c r="A6" s="11">
        <v>45343</v>
      </c>
      <c r="B6" s="17" t="s">
        <v>131</v>
      </c>
      <c r="C6" s="17" t="s">
        <v>117</v>
      </c>
      <c r="D6" s="17" t="s">
        <v>68</v>
      </c>
      <c r="E6" t="s">
        <v>69</v>
      </c>
      <c r="F6" t="s">
        <v>137</v>
      </c>
      <c r="G6">
        <v>279.2</v>
      </c>
      <c r="I6" s="11">
        <v>45327</v>
      </c>
      <c r="J6" s="11">
        <v>45340</v>
      </c>
      <c r="L6" t="s">
        <v>138</v>
      </c>
      <c r="N6" t="s">
        <v>139</v>
      </c>
    </row>
    <row r="7" spans="1:14" x14ac:dyDescent="0.3">
      <c r="A7" s="11">
        <v>45343</v>
      </c>
      <c r="B7" s="17" t="s">
        <v>131</v>
      </c>
      <c r="C7" s="17" t="s">
        <v>117</v>
      </c>
      <c r="D7" s="17" t="s">
        <v>68</v>
      </c>
      <c r="E7" t="s">
        <v>69</v>
      </c>
      <c r="F7" t="s">
        <v>140</v>
      </c>
      <c r="G7">
        <v>253.88</v>
      </c>
      <c r="I7" s="11">
        <v>45327</v>
      </c>
      <c r="J7" s="11">
        <v>45340</v>
      </c>
      <c r="L7" t="s">
        <v>141</v>
      </c>
      <c r="N7" t="s">
        <v>142</v>
      </c>
    </row>
    <row r="8" spans="1:14" x14ac:dyDescent="0.3">
      <c r="A8" s="11">
        <v>45343</v>
      </c>
      <c r="B8" s="17" t="s">
        <v>131</v>
      </c>
      <c r="C8" s="17" t="s">
        <v>117</v>
      </c>
      <c r="D8" s="17" t="s">
        <v>68</v>
      </c>
      <c r="E8" t="s">
        <v>69</v>
      </c>
      <c r="F8" t="s">
        <v>143</v>
      </c>
      <c r="G8">
        <v>569.9</v>
      </c>
      <c r="I8" s="11">
        <v>45327</v>
      </c>
      <c r="J8" s="11">
        <v>45340</v>
      </c>
      <c r="L8" t="s">
        <v>144</v>
      </c>
      <c r="N8" t="s">
        <v>145</v>
      </c>
    </row>
    <row r="9" spans="1:14" x14ac:dyDescent="0.3">
      <c r="A9" s="11">
        <v>45343</v>
      </c>
      <c r="B9" s="17" t="s">
        <v>131</v>
      </c>
      <c r="C9" s="17" t="s">
        <v>117</v>
      </c>
      <c r="D9" s="17" t="s">
        <v>68</v>
      </c>
      <c r="E9" t="s">
        <v>69</v>
      </c>
      <c r="F9" t="s">
        <v>146</v>
      </c>
      <c r="G9">
        <v>52.88</v>
      </c>
      <c r="I9" s="11">
        <v>45327</v>
      </c>
      <c r="J9" s="11">
        <v>45340</v>
      </c>
      <c r="L9" t="s">
        <v>147</v>
      </c>
      <c r="N9" t="s">
        <v>148</v>
      </c>
    </row>
    <row r="10" spans="1:14" x14ac:dyDescent="0.3">
      <c r="A10" s="11">
        <v>45343</v>
      </c>
      <c r="B10" s="17" t="s">
        <v>131</v>
      </c>
      <c r="C10" s="17" t="s">
        <v>117</v>
      </c>
      <c r="D10" s="17" t="s">
        <v>68</v>
      </c>
      <c r="E10" t="s">
        <v>69</v>
      </c>
      <c r="F10" t="s">
        <v>149</v>
      </c>
      <c r="G10">
        <v>224.24</v>
      </c>
      <c r="I10" s="11">
        <v>45327</v>
      </c>
      <c r="J10" s="11">
        <v>45340</v>
      </c>
      <c r="L10" t="s">
        <v>126</v>
      </c>
      <c r="N10" t="s">
        <v>127</v>
      </c>
    </row>
    <row r="11" spans="1:14" x14ac:dyDescent="0.3">
      <c r="A11" s="11">
        <v>45343</v>
      </c>
      <c r="B11" s="17" t="s">
        <v>131</v>
      </c>
      <c r="C11" s="17" t="s">
        <v>117</v>
      </c>
      <c r="D11" s="17" t="s">
        <v>68</v>
      </c>
      <c r="E11" t="s">
        <v>69</v>
      </c>
      <c r="F11" t="s">
        <v>150</v>
      </c>
      <c r="G11">
        <v>475.97</v>
      </c>
      <c r="I11" s="11">
        <v>45327</v>
      </c>
      <c r="J11" s="11">
        <v>45340</v>
      </c>
      <c r="L11" t="s">
        <v>128</v>
      </c>
      <c r="N11" t="s">
        <v>129</v>
      </c>
    </row>
    <row r="12" spans="1:14" x14ac:dyDescent="0.3">
      <c r="A12" s="11">
        <v>45343</v>
      </c>
      <c r="B12" s="17" t="s">
        <v>131</v>
      </c>
      <c r="C12" s="17" t="s">
        <v>117</v>
      </c>
      <c r="D12" s="17" t="s">
        <v>68</v>
      </c>
      <c r="E12" t="s">
        <v>69</v>
      </c>
      <c r="F12" t="s">
        <v>151</v>
      </c>
      <c r="G12">
        <v>113.41</v>
      </c>
      <c r="I12" s="11">
        <v>45327</v>
      </c>
      <c r="J12" s="11">
        <v>45340</v>
      </c>
      <c r="L12" t="s">
        <v>152</v>
      </c>
      <c r="N12" t="s">
        <v>153</v>
      </c>
    </row>
    <row r="13" spans="1:14" x14ac:dyDescent="0.3">
      <c r="A13" s="11">
        <v>45343</v>
      </c>
      <c r="B13" s="17" t="s">
        <v>131</v>
      </c>
      <c r="C13" s="17" t="s">
        <v>117</v>
      </c>
      <c r="D13" s="17" t="s">
        <v>68</v>
      </c>
      <c r="E13" t="s">
        <v>69</v>
      </c>
      <c r="F13" t="s">
        <v>154</v>
      </c>
      <c r="G13">
        <v>418.88</v>
      </c>
      <c r="I13" s="11">
        <v>45327</v>
      </c>
      <c r="J13" s="11">
        <v>45340</v>
      </c>
      <c r="L13" t="s">
        <v>155</v>
      </c>
      <c r="N13" t="s">
        <v>156</v>
      </c>
    </row>
    <row r="14" spans="1:14" x14ac:dyDescent="0.3">
      <c r="A14" s="11">
        <v>45343</v>
      </c>
      <c r="B14" s="17" t="s">
        <v>131</v>
      </c>
      <c r="C14" s="17" t="s">
        <v>117</v>
      </c>
      <c r="D14" s="17" t="s">
        <v>68</v>
      </c>
      <c r="E14" t="s">
        <v>69</v>
      </c>
      <c r="F14" t="s">
        <v>157</v>
      </c>
      <c r="G14">
        <v>287.44</v>
      </c>
      <c r="I14" s="11">
        <v>45327</v>
      </c>
      <c r="J14" s="11">
        <v>45340</v>
      </c>
      <c r="L14" t="s">
        <v>158</v>
      </c>
      <c r="N14" t="s">
        <v>159</v>
      </c>
    </row>
    <row r="15" spans="1:14" x14ac:dyDescent="0.3">
      <c r="A15" s="11">
        <v>45343</v>
      </c>
      <c r="B15" s="17" t="s">
        <v>131</v>
      </c>
      <c r="C15" s="17" t="s">
        <v>117</v>
      </c>
      <c r="D15" s="17" t="s">
        <v>68</v>
      </c>
      <c r="E15" t="s">
        <v>69</v>
      </c>
      <c r="F15" t="s">
        <v>160</v>
      </c>
      <c r="G15">
        <v>59.23</v>
      </c>
      <c r="I15" s="11">
        <v>45327</v>
      </c>
      <c r="J15" s="11">
        <v>45340</v>
      </c>
      <c r="L15" t="s">
        <v>161</v>
      </c>
      <c r="N15" t="s">
        <v>162</v>
      </c>
    </row>
    <row r="16" spans="1:14" x14ac:dyDescent="0.3">
      <c r="A16" s="11">
        <v>45343</v>
      </c>
      <c r="B16" s="17" t="s">
        <v>131</v>
      </c>
      <c r="C16" s="17" t="s">
        <v>117</v>
      </c>
      <c r="D16" s="17" t="s">
        <v>68</v>
      </c>
      <c r="E16" t="s">
        <v>69</v>
      </c>
      <c r="F16" t="s">
        <v>163</v>
      </c>
      <c r="G16">
        <v>1032.83</v>
      </c>
      <c r="I16" s="11">
        <v>45327</v>
      </c>
      <c r="J16" s="11">
        <v>45340</v>
      </c>
      <c r="L16" t="s">
        <v>164</v>
      </c>
      <c r="N16" t="s">
        <v>165</v>
      </c>
    </row>
    <row r="17" spans="1:14" x14ac:dyDescent="0.3">
      <c r="A17" s="11">
        <v>45343</v>
      </c>
      <c r="B17" s="17" t="s">
        <v>131</v>
      </c>
      <c r="C17" s="17" t="s">
        <v>117</v>
      </c>
      <c r="D17" s="17" t="s">
        <v>68</v>
      </c>
      <c r="E17" t="s">
        <v>69</v>
      </c>
      <c r="F17" t="s">
        <v>166</v>
      </c>
      <c r="G17">
        <v>107.34</v>
      </c>
      <c r="I17" s="11">
        <v>45327</v>
      </c>
      <c r="J17" s="11">
        <v>45340</v>
      </c>
      <c r="L17" t="s">
        <v>167</v>
      </c>
      <c r="N17" t="s">
        <v>168</v>
      </c>
    </row>
    <row r="18" spans="1:14" x14ac:dyDescent="0.3">
      <c r="A18" s="11">
        <v>45343</v>
      </c>
      <c r="B18" s="17" t="s">
        <v>131</v>
      </c>
      <c r="C18" s="17" t="s">
        <v>117</v>
      </c>
      <c r="D18" s="17" t="s">
        <v>68</v>
      </c>
      <c r="E18" t="s">
        <v>69</v>
      </c>
      <c r="F18" t="s">
        <v>169</v>
      </c>
      <c r="G18">
        <v>429.28</v>
      </c>
      <c r="I18" s="11">
        <v>45327</v>
      </c>
      <c r="J18" s="11">
        <v>45340</v>
      </c>
      <c r="L18" t="s">
        <v>170</v>
      </c>
      <c r="N18" t="s">
        <v>171</v>
      </c>
    </row>
    <row r="19" spans="1:14" x14ac:dyDescent="0.3">
      <c r="A19" s="11">
        <v>45343</v>
      </c>
      <c r="B19" s="17" t="s">
        <v>131</v>
      </c>
      <c r="C19" s="17" t="s">
        <v>117</v>
      </c>
      <c r="D19" s="17" t="s">
        <v>68</v>
      </c>
      <c r="E19" t="s">
        <v>69</v>
      </c>
      <c r="F19" t="s">
        <v>172</v>
      </c>
      <c r="G19">
        <v>51.61</v>
      </c>
      <c r="I19" s="11">
        <v>45327</v>
      </c>
      <c r="J19" s="11">
        <v>45340</v>
      </c>
      <c r="L19" t="s">
        <v>173</v>
      </c>
      <c r="N19" t="s">
        <v>174</v>
      </c>
    </row>
    <row r="20" spans="1:14" x14ac:dyDescent="0.3">
      <c r="A20" s="11">
        <v>45343</v>
      </c>
      <c r="B20" s="17" t="s">
        <v>131</v>
      </c>
      <c r="C20" s="17" t="s">
        <v>117</v>
      </c>
      <c r="D20" s="17" t="s">
        <v>68</v>
      </c>
      <c r="E20" t="s">
        <v>69</v>
      </c>
      <c r="F20" t="s">
        <v>175</v>
      </c>
      <c r="G20">
        <v>168.18</v>
      </c>
      <c r="I20" s="11">
        <v>45327</v>
      </c>
      <c r="J20" s="11">
        <v>45340</v>
      </c>
      <c r="L20" t="s">
        <v>176</v>
      </c>
      <c r="N20" t="s">
        <v>177</v>
      </c>
    </row>
    <row r="21" spans="1:14" x14ac:dyDescent="0.3">
      <c r="A21" s="11">
        <v>45343</v>
      </c>
      <c r="B21" s="17" t="s">
        <v>131</v>
      </c>
      <c r="C21" s="17" t="s">
        <v>117</v>
      </c>
      <c r="D21" s="17" t="s">
        <v>68</v>
      </c>
      <c r="E21" t="s">
        <v>69</v>
      </c>
      <c r="F21" t="s">
        <v>178</v>
      </c>
      <c r="G21">
        <v>253.8</v>
      </c>
      <c r="I21" s="11">
        <v>45327</v>
      </c>
      <c r="J21" s="11">
        <v>45340</v>
      </c>
      <c r="L21" t="s">
        <v>179</v>
      </c>
      <c r="N21" t="s">
        <v>180</v>
      </c>
    </row>
    <row r="22" spans="1:14" x14ac:dyDescent="0.3">
      <c r="A22" s="11">
        <v>45343</v>
      </c>
      <c r="B22" s="17" t="s">
        <v>131</v>
      </c>
      <c r="C22" s="17" t="s">
        <v>117</v>
      </c>
      <c r="D22" s="17" t="s">
        <v>68</v>
      </c>
      <c r="E22" t="s">
        <v>69</v>
      </c>
      <c r="F22" t="s">
        <v>181</v>
      </c>
      <c r="G22">
        <v>709.67</v>
      </c>
      <c r="I22" s="11">
        <v>45327</v>
      </c>
      <c r="J22" s="11">
        <v>45340</v>
      </c>
      <c r="L22" t="s">
        <v>182</v>
      </c>
      <c r="N22" t="s">
        <v>183</v>
      </c>
    </row>
    <row r="23" spans="1:14" x14ac:dyDescent="0.3">
      <c r="A23" s="11">
        <v>45343</v>
      </c>
      <c r="B23" s="17" t="s">
        <v>131</v>
      </c>
      <c r="C23" s="17" t="s">
        <v>117</v>
      </c>
      <c r="D23" s="17" t="s">
        <v>68</v>
      </c>
      <c r="E23" t="s">
        <v>69</v>
      </c>
      <c r="F23" t="s">
        <v>184</v>
      </c>
      <c r="G23">
        <v>41.42</v>
      </c>
      <c r="I23" s="11">
        <v>45327</v>
      </c>
      <c r="J23" s="11">
        <v>45340</v>
      </c>
      <c r="L23" t="s">
        <v>185</v>
      </c>
      <c r="N23" t="s">
        <v>186</v>
      </c>
    </row>
    <row r="24" spans="1:14" x14ac:dyDescent="0.3">
      <c r="A24" s="11">
        <v>45343</v>
      </c>
      <c r="B24" s="17" t="s">
        <v>131</v>
      </c>
      <c r="C24" s="17" t="s">
        <v>117</v>
      </c>
      <c r="D24" s="17" t="s">
        <v>68</v>
      </c>
      <c r="E24" t="s">
        <v>69</v>
      </c>
      <c r="F24" t="s">
        <v>187</v>
      </c>
      <c r="G24">
        <v>57.12</v>
      </c>
      <c r="I24" s="11">
        <v>45327</v>
      </c>
      <c r="J24" s="11">
        <v>45340</v>
      </c>
      <c r="L24" t="s">
        <v>188</v>
      </c>
      <c r="N24" t="s">
        <v>189</v>
      </c>
    </row>
    <row r="25" spans="1:14" x14ac:dyDescent="0.3">
      <c r="A25" s="11">
        <v>45343</v>
      </c>
      <c r="B25" s="17" t="s">
        <v>131</v>
      </c>
      <c r="C25" s="17" t="s">
        <v>117</v>
      </c>
      <c r="D25" s="17" t="s">
        <v>68</v>
      </c>
      <c r="E25" t="s">
        <v>69</v>
      </c>
      <c r="F25" t="s">
        <v>190</v>
      </c>
      <c r="G25">
        <v>114.24</v>
      </c>
      <c r="I25" s="11">
        <v>45327</v>
      </c>
      <c r="J25" s="11">
        <v>45340</v>
      </c>
      <c r="L25" t="s">
        <v>191</v>
      </c>
      <c r="N25" t="s">
        <v>192</v>
      </c>
    </row>
    <row r="26" spans="1:14" x14ac:dyDescent="0.3">
      <c r="A26" s="11">
        <v>45343</v>
      </c>
      <c r="B26" s="17" t="s">
        <v>131</v>
      </c>
      <c r="C26" s="17" t="s">
        <v>117</v>
      </c>
      <c r="D26" s="17" t="s">
        <v>68</v>
      </c>
      <c r="E26" t="s">
        <v>69</v>
      </c>
      <c r="F26" t="s">
        <v>193</v>
      </c>
      <c r="G26">
        <v>168.16</v>
      </c>
      <c r="I26" s="11">
        <v>45327</v>
      </c>
      <c r="J26" s="11">
        <v>45340</v>
      </c>
      <c r="L26" t="s">
        <v>194</v>
      </c>
      <c r="N26" t="s">
        <v>195</v>
      </c>
    </row>
    <row r="27" spans="1:14" x14ac:dyDescent="0.3">
      <c r="A27" s="11">
        <v>45343</v>
      </c>
      <c r="B27" s="17" t="s">
        <v>131</v>
      </c>
      <c r="C27" s="17" t="s">
        <v>117</v>
      </c>
      <c r="D27" s="17" t="s">
        <v>68</v>
      </c>
      <c r="E27" t="s">
        <v>69</v>
      </c>
      <c r="F27" t="s">
        <v>196</v>
      </c>
      <c r="G27">
        <v>287.45999999999998</v>
      </c>
      <c r="I27" s="11">
        <v>45327</v>
      </c>
      <c r="J27" s="11">
        <v>45340</v>
      </c>
      <c r="L27" t="s">
        <v>197</v>
      </c>
      <c r="N27" t="s">
        <v>198</v>
      </c>
    </row>
    <row r="28" spans="1:14" x14ac:dyDescent="0.3">
      <c r="A28" s="11">
        <v>45343</v>
      </c>
      <c r="B28" s="17" t="s">
        <v>131</v>
      </c>
      <c r="C28" s="17" t="s">
        <v>117</v>
      </c>
      <c r="D28" s="17" t="s">
        <v>68</v>
      </c>
      <c r="E28" t="s">
        <v>69</v>
      </c>
      <c r="F28" t="s">
        <v>199</v>
      </c>
      <c r="G28">
        <v>614.11</v>
      </c>
      <c r="I28" s="11">
        <v>45327</v>
      </c>
      <c r="J28" s="11">
        <v>45340</v>
      </c>
      <c r="L28" t="s">
        <v>200</v>
      </c>
      <c r="N28" t="s">
        <v>201</v>
      </c>
    </row>
    <row r="29" spans="1:14" x14ac:dyDescent="0.3">
      <c r="A29" s="11">
        <v>45343</v>
      </c>
      <c r="B29" s="17" t="s">
        <v>131</v>
      </c>
      <c r="C29" s="17" t="s">
        <v>117</v>
      </c>
      <c r="D29" s="17" t="s">
        <v>68</v>
      </c>
      <c r="E29" t="s">
        <v>69</v>
      </c>
      <c r="F29" t="s">
        <v>202</v>
      </c>
      <c r="G29">
        <v>126.94</v>
      </c>
      <c r="I29" s="11">
        <v>45327</v>
      </c>
      <c r="J29" s="11">
        <v>45340</v>
      </c>
      <c r="L29" t="s">
        <v>203</v>
      </c>
      <c r="N29" t="s">
        <v>204</v>
      </c>
    </row>
    <row r="30" spans="1:14" x14ac:dyDescent="0.3">
      <c r="A30" s="11">
        <v>45343</v>
      </c>
      <c r="B30" s="17" t="s">
        <v>131</v>
      </c>
      <c r="C30" s="17" t="s">
        <v>117</v>
      </c>
      <c r="D30" s="17" t="s">
        <v>54</v>
      </c>
      <c r="E30" t="s">
        <v>55</v>
      </c>
      <c r="F30" t="s">
        <v>205</v>
      </c>
      <c r="G30">
        <v>432.71</v>
      </c>
      <c r="I30" s="11">
        <v>45327</v>
      </c>
      <c r="J30" s="11">
        <v>45340</v>
      </c>
      <c r="L30" t="s">
        <v>123</v>
      </c>
      <c r="N30" t="s">
        <v>124</v>
      </c>
    </row>
    <row r="31" spans="1:14" x14ac:dyDescent="0.3">
      <c r="A31" s="11">
        <v>45343</v>
      </c>
      <c r="B31" s="17" t="s">
        <v>131</v>
      </c>
      <c r="C31" s="17" t="s">
        <v>117</v>
      </c>
      <c r="D31" s="17" t="s">
        <v>48</v>
      </c>
      <c r="E31" t="s">
        <v>49</v>
      </c>
      <c r="F31" t="s">
        <v>206</v>
      </c>
      <c r="G31">
        <v>338.45</v>
      </c>
      <c r="I31" s="11">
        <v>45327</v>
      </c>
      <c r="J31" s="11">
        <v>45340</v>
      </c>
      <c r="L31" t="s">
        <v>207</v>
      </c>
      <c r="N31" t="s">
        <v>208</v>
      </c>
    </row>
    <row r="32" spans="1:14" x14ac:dyDescent="0.3">
      <c r="A32" s="11">
        <v>45343</v>
      </c>
      <c r="B32" s="17" t="s">
        <v>131</v>
      </c>
      <c r="C32" s="17" t="s">
        <v>117</v>
      </c>
      <c r="D32" s="17" t="s">
        <v>66</v>
      </c>
      <c r="E32" t="s">
        <v>67</v>
      </c>
      <c r="F32" t="s">
        <v>132</v>
      </c>
      <c r="G32">
        <v>-10115.32</v>
      </c>
      <c r="I32" s="11">
        <v>45327</v>
      </c>
      <c r="J32" s="11">
        <v>45340</v>
      </c>
    </row>
    <row r="33" spans="1:14" x14ac:dyDescent="0.3">
      <c r="A33" s="11">
        <v>45343</v>
      </c>
      <c r="B33" s="17" t="s">
        <v>131</v>
      </c>
      <c r="C33" s="17" t="s">
        <v>117</v>
      </c>
      <c r="D33" s="17" t="s">
        <v>76</v>
      </c>
      <c r="E33" t="s">
        <v>77</v>
      </c>
      <c r="F33" t="s">
        <v>133</v>
      </c>
      <c r="G33">
        <v>10395.01</v>
      </c>
      <c r="H33">
        <v>76</v>
      </c>
      <c r="I33" s="11">
        <v>45327</v>
      </c>
      <c r="J33" s="11">
        <v>45340</v>
      </c>
      <c r="K33" t="s">
        <v>118</v>
      </c>
      <c r="L33" t="s">
        <v>134</v>
      </c>
      <c r="N33" t="s">
        <v>135</v>
      </c>
    </row>
    <row r="34" spans="1:14" x14ac:dyDescent="0.3">
      <c r="A34" s="11">
        <v>45343</v>
      </c>
      <c r="B34" s="17" t="s">
        <v>131</v>
      </c>
      <c r="C34" s="17" t="s">
        <v>117</v>
      </c>
      <c r="D34" s="17" t="s">
        <v>68</v>
      </c>
      <c r="E34" t="s">
        <v>69</v>
      </c>
      <c r="F34" t="s">
        <v>209</v>
      </c>
      <c r="G34">
        <v>3306</v>
      </c>
      <c r="H34">
        <v>76.95</v>
      </c>
      <c r="I34" s="11">
        <v>45327</v>
      </c>
      <c r="J34" s="11">
        <v>45340</v>
      </c>
      <c r="K34" t="s">
        <v>118</v>
      </c>
      <c r="L34" t="s">
        <v>210</v>
      </c>
    </row>
    <row r="35" spans="1:14" x14ac:dyDescent="0.3">
      <c r="A35" s="11">
        <v>45343</v>
      </c>
      <c r="B35" s="17" t="s">
        <v>131</v>
      </c>
      <c r="C35" s="17" t="s">
        <v>117</v>
      </c>
      <c r="D35" s="17" t="s">
        <v>68</v>
      </c>
      <c r="E35" t="s">
        <v>69</v>
      </c>
      <c r="F35" t="s">
        <v>136</v>
      </c>
      <c r="G35">
        <v>14098.21</v>
      </c>
      <c r="H35">
        <v>169.2</v>
      </c>
      <c r="I35" s="11">
        <v>45327</v>
      </c>
      <c r="J35" s="11">
        <v>45340</v>
      </c>
      <c r="K35" t="s">
        <v>118</v>
      </c>
      <c r="L35" t="s">
        <v>122</v>
      </c>
    </row>
    <row r="36" spans="1:14" x14ac:dyDescent="0.3">
      <c r="A36" s="11">
        <v>45343</v>
      </c>
      <c r="B36" s="17" t="s">
        <v>131</v>
      </c>
      <c r="C36" s="17" t="s">
        <v>117</v>
      </c>
      <c r="D36" s="17" t="s">
        <v>68</v>
      </c>
      <c r="E36" t="s">
        <v>69</v>
      </c>
      <c r="F36" t="s">
        <v>137</v>
      </c>
      <c r="G36">
        <v>2538.48</v>
      </c>
      <c r="H36">
        <v>30.4</v>
      </c>
      <c r="I36" s="11">
        <v>45327</v>
      </c>
      <c r="J36" s="11">
        <v>45340</v>
      </c>
      <c r="K36" t="s">
        <v>118</v>
      </c>
      <c r="L36" t="s">
        <v>138</v>
      </c>
      <c r="N36" t="s">
        <v>139</v>
      </c>
    </row>
    <row r="37" spans="1:14" x14ac:dyDescent="0.3">
      <c r="A37" s="11">
        <v>45343</v>
      </c>
      <c r="B37" s="17" t="s">
        <v>131</v>
      </c>
      <c r="C37" s="17" t="s">
        <v>117</v>
      </c>
      <c r="D37" s="17" t="s">
        <v>68</v>
      </c>
      <c r="E37" t="s">
        <v>69</v>
      </c>
      <c r="F37" t="s">
        <v>140</v>
      </c>
      <c r="G37">
        <v>2307.6799999999998</v>
      </c>
      <c r="H37">
        <v>30.4</v>
      </c>
      <c r="I37" s="11">
        <v>45327</v>
      </c>
      <c r="J37" s="11">
        <v>45340</v>
      </c>
      <c r="K37" t="s">
        <v>118</v>
      </c>
      <c r="L37" t="s">
        <v>141</v>
      </c>
      <c r="N37" t="s">
        <v>142</v>
      </c>
    </row>
    <row r="38" spans="1:14" x14ac:dyDescent="0.3">
      <c r="A38" s="11">
        <v>45343</v>
      </c>
      <c r="B38" s="17" t="s">
        <v>131</v>
      </c>
      <c r="C38" s="17" t="s">
        <v>117</v>
      </c>
      <c r="D38" s="17" t="s">
        <v>68</v>
      </c>
      <c r="E38" t="s">
        <v>69</v>
      </c>
      <c r="F38" t="s">
        <v>143</v>
      </c>
      <c r="G38">
        <v>5468.56</v>
      </c>
      <c r="H38">
        <v>78</v>
      </c>
      <c r="I38" s="11">
        <v>45327</v>
      </c>
      <c r="J38" s="11">
        <v>45340</v>
      </c>
      <c r="K38" t="s">
        <v>118</v>
      </c>
      <c r="L38" t="s">
        <v>144</v>
      </c>
      <c r="N38" t="s">
        <v>145</v>
      </c>
    </row>
    <row r="39" spans="1:14" x14ac:dyDescent="0.3">
      <c r="A39" s="11">
        <v>45343</v>
      </c>
      <c r="B39" s="17" t="s">
        <v>131</v>
      </c>
      <c r="C39" s="17" t="s">
        <v>117</v>
      </c>
      <c r="D39" s="17" t="s">
        <v>68</v>
      </c>
      <c r="E39" t="s">
        <v>69</v>
      </c>
      <c r="F39" t="s">
        <v>146</v>
      </c>
      <c r="G39">
        <v>480.76</v>
      </c>
      <c r="H39">
        <v>7.6</v>
      </c>
      <c r="I39" s="11">
        <v>45327</v>
      </c>
      <c r="J39" s="11">
        <v>45340</v>
      </c>
      <c r="K39" t="s">
        <v>118</v>
      </c>
      <c r="L39" t="s">
        <v>147</v>
      </c>
      <c r="N39" t="s">
        <v>148</v>
      </c>
    </row>
    <row r="40" spans="1:14" x14ac:dyDescent="0.3">
      <c r="A40" s="11">
        <v>45343</v>
      </c>
      <c r="B40" s="17" t="s">
        <v>131</v>
      </c>
      <c r="C40" s="17" t="s">
        <v>117</v>
      </c>
      <c r="D40" s="17" t="s">
        <v>68</v>
      </c>
      <c r="E40" t="s">
        <v>69</v>
      </c>
      <c r="F40" t="s">
        <v>149</v>
      </c>
      <c r="G40">
        <v>2038.48</v>
      </c>
      <c r="H40">
        <v>30.4</v>
      </c>
      <c r="I40" s="11">
        <v>45327</v>
      </c>
      <c r="J40" s="11">
        <v>45340</v>
      </c>
      <c r="K40" t="s">
        <v>118</v>
      </c>
      <c r="L40" t="s">
        <v>126</v>
      </c>
      <c r="N40" t="s">
        <v>127</v>
      </c>
    </row>
    <row r="41" spans="1:14" x14ac:dyDescent="0.3">
      <c r="A41" s="11">
        <v>45343</v>
      </c>
      <c r="B41" s="17" t="s">
        <v>131</v>
      </c>
      <c r="C41" s="17" t="s">
        <v>117</v>
      </c>
      <c r="D41" s="17" t="s">
        <v>68</v>
      </c>
      <c r="E41" t="s">
        <v>69</v>
      </c>
      <c r="F41" t="s">
        <v>150</v>
      </c>
      <c r="G41">
        <v>4345.3900000000003</v>
      </c>
      <c r="H41">
        <v>69.400000000000006</v>
      </c>
      <c r="I41" s="11">
        <v>45327</v>
      </c>
      <c r="J41" s="11">
        <v>45340</v>
      </c>
      <c r="K41" t="s">
        <v>118</v>
      </c>
      <c r="L41" t="s">
        <v>128</v>
      </c>
      <c r="N41" t="s">
        <v>129</v>
      </c>
    </row>
    <row r="42" spans="1:14" x14ac:dyDescent="0.3">
      <c r="A42" s="11">
        <v>45343</v>
      </c>
      <c r="B42" s="17" t="s">
        <v>131</v>
      </c>
      <c r="C42" s="17" t="s">
        <v>117</v>
      </c>
      <c r="D42" s="17" t="s">
        <v>68</v>
      </c>
      <c r="E42" t="s">
        <v>69</v>
      </c>
      <c r="F42" t="s">
        <v>151</v>
      </c>
      <c r="G42">
        <v>1031</v>
      </c>
      <c r="H42">
        <v>16.7</v>
      </c>
      <c r="I42" s="11">
        <v>45327</v>
      </c>
      <c r="J42" s="11">
        <v>45340</v>
      </c>
      <c r="K42" t="s">
        <v>118</v>
      </c>
      <c r="L42" t="s">
        <v>152</v>
      </c>
      <c r="N42" t="s">
        <v>153</v>
      </c>
    </row>
    <row r="43" spans="1:14" x14ac:dyDescent="0.3">
      <c r="A43" s="11">
        <v>45343</v>
      </c>
      <c r="B43" s="17" t="s">
        <v>131</v>
      </c>
      <c r="C43" s="17" t="s">
        <v>117</v>
      </c>
      <c r="D43" s="17" t="s">
        <v>68</v>
      </c>
      <c r="E43" t="s">
        <v>69</v>
      </c>
      <c r="F43" t="s">
        <v>154</v>
      </c>
      <c r="G43">
        <v>4210.75</v>
      </c>
      <c r="H43">
        <v>47.6</v>
      </c>
      <c r="I43" s="11">
        <v>45327</v>
      </c>
      <c r="J43" s="11">
        <v>45340</v>
      </c>
      <c r="K43" t="s">
        <v>118</v>
      </c>
      <c r="L43" t="s">
        <v>155</v>
      </c>
      <c r="N43" t="s">
        <v>156</v>
      </c>
    </row>
    <row r="44" spans="1:14" x14ac:dyDescent="0.3">
      <c r="A44" s="11">
        <v>45343</v>
      </c>
      <c r="B44" s="17" t="s">
        <v>131</v>
      </c>
      <c r="C44" s="17" t="s">
        <v>117</v>
      </c>
      <c r="D44" s="17" t="s">
        <v>68</v>
      </c>
      <c r="E44" t="s">
        <v>69</v>
      </c>
      <c r="F44" t="s">
        <v>157</v>
      </c>
      <c r="G44">
        <v>2613.16</v>
      </c>
      <c r="H44">
        <v>32</v>
      </c>
      <c r="I44" s="11">
        <v>45327</v>
      </c>
      <c r="J44" s="11">
        <v>45340</v>
      </c>
      <c r="K44" t="s">
        <v>118</v>
      </c>
      <c r="L44" t="s">
        <v>158</v>
      </c>
      <c r="N44" t="s">
        <v>159</v>
      </c>
    </row>
    <row r="45" spans="1:14" x14ac:dyDescent="0.3">
      <c r="A45" s="11">
        <v>45343</v>
      </c>
      <c r="B45" s="17" t="s">
        <v>131</v>
      </c>
      <c r="C45" s="17" t="s">
        <v>117</v>
      </c>
      <c r="D45" s="17" t="s">
        <v>68</v>
      </c>
      <c r="E45" t="s">
        <v>69</v>
      </c>
      <c r="F45" t="s">
        <v>160</v>
      </c>
      <c r="G45">
        <v>538.46</v>
      </c>
      <c r="H45">
        <v>7.6</v>
      </c>
      <c r="I45" s="11">
        <v>45327</v>
      </c>
      <c r="J45" s="11">
        <v>45340</v>
      </c>
      <c r="K45" t="s">
        <v>118</v>
      </c>
      <c r="L45" t="s">
        <v>161</v>
      </c>
      <c r="N45" t="s">
        <v>162</v>
      </c>
    </row>
    <row r="46" spans="1:14" x14ac:dyDescent="0.3">
      <c r="A46" s="11">
        <v>45343</v>
      </c>
      <c r="B46" s="17" t="s">
        <v>131</v>
      </c>
      <c r="C46" s="17" t="s">
        <v>117</v>
      </c>
      <c r="D46" s="17" t="s">
        <v>68</v>
      </c>
      <c r="E46" t="s">
        <v>69</v>
      </c>
      <c r="F46" t="s">
        <v>163</v>
      </c>
      <c r="G46">
        <v>9964.81</v>
      </c>
      <c r="H46">
        <v>178.8</v>
      </c>
      <c r="I46" s="11">
        <v>45327</v>
      </c>
      <c r="J46" s="11">
        <v>45340</v>
      </c>
      <c r="K46" t="s">
        <v>118</v>
      </c>
      <c r="L46" t="s">
        <v>164</v>
      </c>
      <c r="N46" t="s">
        <v>165</v>
      </c>
    </row>
    <row r="47" spans="1:14" x14ac:dyDescent="0.3">
      <c r="A47" s="11">
        <v>45343</v>
      </c>
      <c r="B47" s="17" t="s">
        <v>131</v>
      </c>
      <c r="C47" s="17" t="s">
        <v>117</v>
      </c>
      <c r="D47" s="17" t="s">
        <v>68</v>
      </c>
      <c r="E47" t="s">
        <v>69</v>
      </c>
      <c r="F47" t="s">
        <v>166</v>
      </c>
      <c r="G47">
        <v>975.68</v>
      </c>
      <c r="H47">
        <v>15.2</v>
      </c>
      <c r="I47" s="11">
        <v>45327</v>
      </c>
      <c r="J47" s="11">
        <v>45340</v>
      </c>
      <c r="K47" t="s">
        <v>118</v>
      </c>
      <c r="L47" t="s">
        <v>167</v>
      </c>
      <c r="N47" t="s">
        <v>168</v>
      </c>
    </row>
    <row r="48" spans="1:14" x14ac:dyDescent="0.3">
      <c r="A48" s="11">
        <v>45343</v>
      </c>
      <c r="B48" s="17" t="s">
        <v>131</v>
      </c>
      <c r="C48" s="17" t="s">
        <v>117</v>
      </c>
      <c r="D48" s="17" t="s">
        <v>68</v>
      </c>
      <c r="E48" t="s">
        <v>69</v>
      </c>
      <c r="F48" t="s">
        <v>169</v>
      </c>
      <c r="G48">
        <v>3921.1</v>
      </c>
      <c r="H48">
        <v>61.8</v>
      </c>
      <c r="I48" s="11">
        <v>45327</v>
      </c>
      <c r="J48" s="11">
        <v>45340</v>
      </c>
      <c r="K48" t="s">
        <v>118</v>
      </c>
      <c r="L48" t="s">
        <v>170</v>
      </c>
      <c r="N48" t="s">
        <v>171</v>
      </c>
    </row>
    <row r="49" spans="1:14" x14ac:dyDescent="0.3">
      <c r="A49" s="11">
        <v>45343</v>
      </c>
      <c r="B49" s="17" t="s">
        <v>131</v>
      </c>
      <c r="C49" s="17" t="s">
        <v>117</v>
      </c>
      <c r="D49" s="17" t="s">
        <v>68</v>
      </c>
      <c r="E49" t="s">
        <v>69</v>
      </c>
      <c r="F49" t="s">
        <v>172</v>
      </c>
      <c r="G49">
        <v>469.18</v>
      </c>
      <c r="H49">
        <v>7.6</v>
      </c>
      <c r="I49" s="11">
        <v>45327</v>
      </c>
      <c r="J49" s="11">
        <v>45340</v>
      </c>
      <c r="K49" t="s">
        <v>118</v>
      </c>
      <c r="L49" t="s">
        <v>173</v>
      </c>
      <c r="N49" t="s">
        <v>174</v>
      </c>
    </row>
    <row r="50" spans="1:14" x14ac:dyDescent="0.3">
      <c r="A50" s="11">
        <v>45343</v>
      </c>
      <c r="B50" s="17" t="s">
        <v>131</v>
      </c>
      <c r="C50" s="17" t="s">
        <v>117</v>
      </c>
      <c r="D50" s="17" t="s">
        <v>68</v>
      </c>
      <c r="E50" t="s">
        <v>69</v>
      </c>
      <c r="F50" t="s">
        <v>175</v>
      </c>
      <c r="G50">
        <v>1547.32</v>
      </c>
      <c r="H50">
        <v>23.8</v>
      </c>
      <c r="I50" s="11">
        <v>45327</v>
      </c>
      <c r="J50" s="11">
        <v>45340</v>
      </c>
      <c r="K50" t="s">
        <v>118</v>
      </c>
      <c r="L50" t="s">
        <v>176</v>
      </c>
      <c r="N50" t="s">
        <v>177</v>
      </c>
    </row>
    <row r="51" spans="1:14" x14ac:dyDescent="0.3">
      <c r="A51" s="11">
        <v>45343</v>
      </c>
      <c r="B51" s="17" t="s">
        <v>131</v>
      </c>
      <c r="C51" s="17" t="s">
        <v>117</v>
      </c>
      <c r="D51" s="17" t="s">
        <v>68</v>
      </c>
      <c r="E51" t="s">
        <v>69</v>
      </c>
      <c r="F51" t="s">
        <v>178</v>
      </c>
      <c r="G51">
        <v>2710.78</v>
      </c>
      <c r="H51">
        <v>32.4</v>
      </c>
      <c r="I51" s="11">
        <v>45327</v>
      </c>
      <c r="J51" s="11">
        <v>45340</v>
      </c>
      <c r="K51" t="s">
        <v>118</v>
      </c>
      <c r="L51" t="s">
        <v>179</v>
      </c>
      <c r="N51" t="s">
        <v>180</v>
      </c>
    </row>
    <row r="52" spans="1:14" x14ac:dyDescent="0.3">
      <c r="A52" s="11">
        <v>45343</v>
      </c>
      <c r="B52" s="17" t="s">
        <v>131</v>
      </c>
      <c r="C52" s="17" t="s">
        <v>117</v>
      </c>
      <c r="D52" s="17" t="s">
        <v>68</v>
      </c>
      <c r="E52" t="s">
        <v>69</v>
      </c>
      <c r="F52" t="s">
        <v>181</v>
      </c>
      <c r="G52">
        <v>7026.89</v>
      </c>
      <c r="H52">
        <v>182.25564</v>
      </c>
      <c r="I52" s="11">
        <v>45327</v>
      </c>
      <c r="J52" s="11">
        <v>45340</v>
      </c>
      <c r="K52" t="s">
        <v>118</v>
      </c>
      <c r="L52" t="s">
        <v>182</v>
      </c>
      <c r="N52" t="s">
        <v>183</v>
      </c>
    </row>
    <row r="53" spans="1:14" x14ac:dyDescent="0.3">
      <c r="A53" s="11">
        <v>45343</v>
      </c>
      <c r="B53" s="17" t="s">
        <v>131</v>
      </c>
      <c r="C53" s="17" t="s">
        <v>117</v>
      </c>
      <c r="D53" s="17" t="s">
        <v>68</v>
      </c>
      <c r="E53" t="s">
        <v>69</v>
      </c>
      <c r="F53" t="s">
        <v>184</v>
      </c>
      <c r="G53">
        <v>376.58</v>
      </c>
      <c r="H53">
        <v>6.1</v>
      </c>
      <c r="I53" s="11">
        <v>45327</v>
      </c>
      <c r="J53" s="11">
        <v>45340</v>
      </c>
      <c r="K53" t="s">
        <v>118</v>
      </c>
      <c r="L53" t="s">
        <v>185</v>
      </c>
      <c r="N53" t="s">
        <v>186</v>
      </c>
    </row>
    <row r="54" spans="1:14" x14ac:dyDescent="0.3">
      <c r="A54" s="11">
        <v>45343</v>
      </c>
      <c r="B54" s="17" t="s">
        <v>131</v>
      </c>
      <c r="C54" s="17" t="s">
        <v>117</v>
      </c>
      <c r="D54" s="17" t="s">
        <v>68</v>
      </c>
      <c r="E54" t="s">
        <v>69</v>
      </c>
      <c r="F54" t="s">
        <v>187</v>
      </c>
      <c r="G54">
        <v>519.23</v>
      </c>
      <c r="H54">
        <v>7.6</v>
      </c>
      <c r="I54" s="11">
        <v>45327</v>
      </c>
      <c r="J54" s="11">
        <v>45340</v>
      </c>
      <c r="K54" t="s">
        <v>118</v>
      </c>
      <c r="L54" t="s">
        <v>188</v>
      </c>
      <c r="N54" t="s">
        <v>189</v>
      </c>
    </row>
    <row r="55" spans="1:14" x14ac:dyDescent="0.3">
      <c r="A55" s="11">
        <v>45343</v>
      </c>
      <c r="B55" s="17" t="s">
        <v>131</v>
      </c>
      <c r="C55" s="17" t="s">
        <v>117</v>
      </c>
      <c r="D55" s="17" t="s">
        <v>68</v>
      </c>
      <c r="E55" t="s">
        <v>69</v>
      </c>
      <c r="F55" t="s">
        <v>190</v>
      </c>
      <c r="G55">
        <v>1038.46</v>
      </c>
      <c r="H55">
        <v>15.2</v>
      </c>
      <c r="I55" s="11">
        <v>45327</v>
      </c>
      <c r="J55" s="11">
        <v>45340</v>
      </c>
      <c r="K55" t="s">
        <v>118</v>
      </c>
      <c r="L55" t="s">
        <v>191</v>
      </c>
      <c r="N55" t="s">
        <v>192</v>
      </c>
    </row>
    <row r="56" spans="1:14" x14ac:dyDescent="0.3">
      <c r="A56" s="11">
        <v>45343</v>
      </c>
      <c r="B56" s="17" t="s">
        <v>131</v>
      </c>
      <c r="C56" s="17" t="s">
        <v>117</v>
      </c>
      <c r="D56" s="17" t="s">
        <v>68</v>
      </c>
      <c r="E56" t="s">
        <v>69</v>
      </c>
      <c r="F56" t="s">
        <v>193</v>
      </c>
      <c r="G56">
        <v>1528.83</v>
      </c>
      <c r="H56">
        <v>22.8</v>
      </c>
      <c r="I56" s="11">
        <v>45327</v>
      </c>
      <c r="J56" s="11">
        <v>45340</v>
      </c>
      <c r="K56" t="s">
        <v>118</v>
      </c>
      <c r="L56" t="s">
        <v>194</v>
      </c>
      <c r="N56" t="s">
        <v>195</v>
      </c>
    </row>
    <row r="57" spans="1:14" x14ac:dyDescent="0.3">
      <c r="A57" s="11">
        <v>45343</v>
      </c>
      <c r="B57" s="17" t="s">
        <v>131</v>
      </c>
      <c r="C57" s="17" t="s">
        <v>117</v>
      </c>
      <c r="D57" s="17" t="s">
        <v>68</v>
      </c>
      <c r="E57" t="s">
        <v>69</v>
      </c>
      <c r="F57" t="s">
        <v>196</v>
      </c>
      <c r="G57">
        <v>2631.65</v>
      </c>
      <c r="H57">
        <v>33</v>
      </c>
      <c r="I57" s="11">
        <v>45327</v>
      </c>
      <c r="J57" s="11">
        <v>45340</v>
      </c>
      <c r="K57" t="s">
        <v>118</v>
      </c>
      <c r="L57" t="s">
        <v>197</v>
      </c>
      <c r="N57" t="s">
        <v>198</v>
      </c>
    </row>
    <row r="58" spans="1:14" x14ac:dyDescent="0.3">
      <c r="A58" s="11">
        <v>45343</v>
      </c>
      <c r="B58" s="17" t="s">
        <v>131</v>
      </c>
      <c r="C58" s="17" t="s">
        <v>117</v>
      </c>
      <c r="D58" s="17" t="s">
        <v>68</v>
      </c>
      <c r="E58" t="s">
        <v>69</v>
      </c>
      <c r="F58" t="s">
        <v>199</v>
      </c>
      <c r="G58">
        <v>5870.51</v>
      </c>
      <c r="H58">
        <v>85.6</v>
      </c>
      <c r="I58" s="11">
        <v>45327</v>
      </c>
      <c r="J58" s="11">
        <v>45340</v>
      </c>
      <c r="K58" t="s">
        <v>118</v>
      </c>
      <c r="L58" t="s">
        <v>200</v>
      </c>
      <c r="N58" t="s">
        <v>201</v>
      </c>
    </row>
    <row r="59" spans="1:14" x14ac:dyDescent="0.3">
      <c r="A59" s="11">
        <v>45343</v>
      </c>
      <c r="B59" s="17" t="s">
        <v>131</v>
      </c>
      <c r="C59" s="17" t="s">
        <v>117</v>
      </c>
      <c r="D59" s="17" t="s">
        <v>68</v>
      </c>
      <c r="E59" t="s">
        <v>69</v>
      </c>
      <c r="F59" t="s">
        <v>202</v>
      </c>
      <c r="G59">
        <v>1153.8399999999999</v>
      </c>
      <c r="H59">
        <v>15.2</v>
      </c>
      <c r="I59" s="11">
        <v>45327</v>
      </c>
      <c r="J59" s="11">
        <v>45340</v>
      </c>
      <c r="K59" t="s">
        <v>118</v>
      </c>
      <c r="L59" t="s">
        <v>203</v>
      </c>
      <c r="N59" t="s">
        <v>204</v>
      </c>
    </row>
    <row r="60" spans="1:14" x14ac:dyDescent="0.3">
      <c r="A60" s="11">
        <v>45343</v>
      </c>
      <c r="B60" s="17" t="s">
        <v>131</v>
      </c>
      <c r="C60" s="17" t="s">
        <v>117</v>
      </c>
      <c r="D60" s="17" t="s">
        <v>54</v>
      </c>
      <c r="E60" t="s">
        <v>55</v>
      </c>
      <c r="F60" t="s">
        <v>205</v>
      </c>
      <c r="G60">
        <v>3952.05</v>
      </c>
      <c r="H60">
        <v>115</v>
      </c>
      <c r="I60" s="11">
        <v>45327</v>
      </c>
      <c r="J60" s="11">
        <v>45340</v>
      </c>
      <c r="K60" t="s">
        <v>118</v>
      </c>
      <c r="L60" t="s">
        <v>123</v>
      </c>
      <c r="N60" t="s">
        <v>124</v>
      </c>
    </row>
    <row r="61" spans="1:14" x14ac:dyDescent="0.3">
      <c r="A61" s="11">
        <v>45343</v>
      </c>
      <c r="B61" s="17" t="s">
        <v>131</v>
      </c>
      <c r="C61" s="17" t="s">
        <v>117</v>
      </c>
      <c r="D61" s="17" t="s">
        <v>48</v>
      </c>
      <c r="E61" t="s">
        <v>49</v>
      </c>
      <c r="F61" t="s">
        <v>206</v>
      </c>
      <c r="G61">
        <v>3104.53</v>
      </c>
      <c r="H61">
        <v>53</v>
      </c>
      <c r="I61" s="11">
        <v>45327</v>
      </c>
      <c r="J61" s="11">
        <v>45340</v>
      </c>
      <c r="K61" t="s">
        <v>118</v>
      </c>
      <c r="L61" t="s">
        <v>207</v>
      </c>
      <c r="N61" t="s">
        <v>208</v>
      </c>
    </row>
    <row r="62" spans="1:14" x14ac:dyDescent="0.3">
      <c r="A62" s="11">
        <v>45343</v>
      </c>
      <c r="B62" s="17" t="s">
        <v>131</v>
      </c>
      <c r="C62" s="17" t="s">
        <v>117</v>
      </c>
      <c r="D62" s="17" t="s">
        <v>66</v>
      </c>
      <c r="E62" t="s">
        <v>67</v>
      </c>
      <c r="F62" t="s">
        <v>132</v>
      </c>
      <c r="G62">
        <v>-545.37</v>
      </c>
      <c r="I62" s="11">
        <v>45327</v>
      </c>
      <c r="J62" s="11">
        <v>45340</v>
      </c>
    </row>
    <row r="65" spans="1:10" x14ac:dyDescent="0.3">
      <c r="A65" s="11"/>
      <c r="B65" s="17"/>
      <c r="C65" s="17"/>
      <c r="D65" s="17"/>
      <c r="I65" s="11"/>
      <c r="J65" s="11"/>
    </row>
    <row r="66" spans="1:10" x14ac:dyDescent="0.3">
      <c r="A66" s="11"/>
      <c r="B66" s="17"/>
      <c r="C66" s="17"/>
      <c r="D66" s="17"/>
      <c r="I66" s="11"/>
      <c r="J66" s="11"/>
    </row>
    <row r="70" spans="1:10" x14ac:dyDescent="0.3">
      <c r="A70" s="11"/>
      <c r="B70" s="17"/>
      <c r="C70" s="17"/>
      <c r="D70" s="17"/>
      <c r="I70" s="11"/>
      <c r="J70" s="11"/>
    </row>
    <row r="71" spans="1:10" x14ac:dyDescent="0.3">
      <c r="A71" s="11"/>
      <c r="B71" s="17"/>
      <c r="C71" s="17"/>
      <c r="D71" s="17"/>
      <c r="I71" s="11"/>
      <c r="J71" s="11"/>
    </row>
    <row r="72" spans="1:10" x14ac:dyDescent="0.3">
      <c r="A72" s="11"/>
      <c r="B72" s="17"/>
      <c r="C72" s="17"/>
      <c r="D72" s="17"/>
      <c r="I72" s="11"/>
      <c r="J72" s="11"/>
    </row>
    <row r="73" spans="1:10" x14ac:dyDescent="0.3">
      <c r="A73" s="11"/>
      <c r="B73" s="17"/>
      <c r="C73" s="17"/>
      <c r="D73" s="17"/>
      <c r="I73" s="11"/>
      <c r="J73" s="11"/>
    </row>
    <row r="74" spans="1:10" x14ac:dyDescent="0.3">
      <c r="A74" s="11"/>
      <c r="B74" s="17"/>
      <c r="C74" s="17"/>
      <c r="D74" s="17"/>
      <c r="I74" s="11"/>
      <c r="J74" s="11"/>
    </row>
    <row r="75" spans="1:10" x14ac:dyDescent="0.3">
      <c r="A75" s="11"/>
      <c r="B75" s="17"/>
      <c r="C75" s="17"/>
      <c r="D75" s="17"/>
      <c r="I75" s="11"/>
      <c r="J75" s="11"/>
    </row>
    <row r="76" spans="1:10" x14ac:dyDescent="0.3">
      <c r="A76" s="11"/>
      <c r="B76" s="17"/>
      <c r="C76" s="17"/>
      <c r="D76" s="17"/>
      <c r="I76" s="11"/>
      <c r="J76" s="11"/>
    </row>
    <row r="77" spans="1:10" x14ac:dyDescent="0.3">
      <c r="A77" s="11"/>
      <c r="B77" s="17"/>
      <c r="C77" s="17"/>
      <c r="D77" s="17"/>
      <c r="I77" s="11"/>
      <c r="J77" s="11"/>
    </row>
    <row r="78" spans="1:10" x14ac:dyDescent="0.3">
      <c r="A78" s="11"/>
      <c r="B78" s="17"/>
      <c r="C78" s="17"/>
      <c r="D78" s="17"/>
      <c r="I78" s="11"/>
      <c r="J78" s="11"/>
    </row>
    <row r="79" spans="1:10" x14ac:dyDescent="0.3">
      <c r="A79" s="11"/>
      <c r="B79" s="17"/>
      <c r="C79" s="17"/>
      <c r="D79" s="17"/>
      <c r="I79" s="11"/>
      <c r="J79" s="11"/>
    </row>
    <row r="80" spans="1:10" x14ac:dyDescent="0.3">
      <c r="A80" s="11"/>
      <c r="B80" s="17"/>
      <c r="C80" s="17"/>
      <c r="D80" s="17"/>
      <c r="I80" s="11"/>
      <c r="J80" s="11"/>
    </row>
    <row r="81" spans="1:10" x14ac:dyDescent="0.3">
      <c r="A81" s="11"/>
      <c r="B81" s="17"/>
      <c r="C81" s="17"/>
      <c r="D81" s="17"/>
      <c r="I81" s="11"/>
      <c r="J81" s="11"/>
    </row>
    <row r="82" spans="1:10" x14ac:dyDescent="0.3">
      <c r="A82" s="11"/>
      <c r="B82" s="17"/>
      <c r="C82" s="17"/>
      <c r="D82" s="17"/>
      <c r="I82" s="11"/>
      <c r="J82" s="11"/>
    </row>
    <row r="83" spans="1:10" x14ac:dyDescent="0.3">
      <c r="A83" s="11"/>
      <c r="B83" s="17"/>
      <c r="C83" s="17"/>
      <c r="D83" s="17"/>
      <c r="I83" s="11"/>
      <c r="J83" s="11"/>
    </row>
    <row r="84" spans="1:10" x14ac:dyDescent="0.3">
      <c r="A84" s="11"/>
      <c r="B84" s="17"/>
      <c r="C84" s="17"/>
      <c r="D84" s="17"/>
      <c r="I84" s="11"/>
      <c r="J84" s="11"/>
    </row>
    <row r="85" spans="1:10" x14ac:dyDescent="0.3">
      <c r="A85" s="11"/>
      <c r="B85" s="17"/>
      <c r="C85" s="17"/>
      <c r="D85" s="17"/>
      <c r="I85" s="11"/>
      <c r="J85" s="11"/>
    </row>
    <row r="86" spans="1:10" x14ac:dyDescent="0.3">
      <c r="A86" s="11"/>
      <c r="B86" s="17"/>
      <c r="C86" s="17"/>
      <c r="D86" s="17"/>
      <c r="I86" s="11"/>
      <c r="J86" s="11"/>
    </row>
    <row r="87" spans="1:10" x14ac:dyDescent="0.3">
      <c r="A87" s="11"/>
      <c r="B87" s="17"/>
      <c r="C87" s="17"/>
      <c r="D87" s="17"/>
      <c r="I87" s="11"/>
      <c r="J87" s="11"/>
    </row>
    <row r="88" spans="1:10" x14ac:dyDescent="0.3">
      <c r="A88" s="11"/>
      <c r="B88" s="17"/>
      <c r="C88" s="17"/>
      <c r="D88" s="17"/>
      <c r="I88" s="11"/>
      <c r="J88" s="11"/>
    </row>
    <row r="89" spans="1:10" x14ac:dyDescent="0.3">
      <c r="A89" s="11"/>
      <c r="B89" s="17"/>
      <c r="C89" s="17"/>
      <c r="D89" s="17"/>
      <c r="I89" s="11"/>
      <c r="J89" s="11"/>
    </row>
    <row r="90" spans="1:10" x14ac:dyDescent="0.3">
      <c r="A90" s="11"/>
      <c r="B90" s="17"/>
      <c r="C90" s="17"/>
      <c r="D90" s="17"/>
      <c r="I90" s="11"/>
      <c r="J90" s="11"/>
    </row>
    <row r="91" spans="1:10" x14ac:dyDescent="0.3">
      <c r="A91" s="11"/>
      <c r="B91" s="17"/>
      <c r="C91" s="17"/>
      <c r="D91" s="17"/>
      <c r="I91" s="11"/>
      <c r="J91" s="11"/>
    </row>
    <row r="92" spans="1:10" x14ac:dyDescent="0.3">
      <c r="A92" s="11"/>
      <c r="B92" s="17"/>
      <c r="C92" s="17"/>
      <c r="D92" s="17"/>
      <c r="I92" s="11"/>
      <c r="J92" s="11"/>
    </row>
    <row r="93" spans="1:10" x14ac:dyDescent="0.3">
      <c r="A93" s="11"/>
      <c r="B93" s="17"/>
      <c r="C93" s="17"/>
      <c r="D93" s="17"/>
      <c r="I93" s="11"/>
      <c r="J93" s="11"/>
    </row>
    <row r="94" spans="1:10" x14ac:dyDescent="0.3">
      <c r="A94" s="11"/>
      <c r="B94" s="17"/>
      <c r="C94" s="17"/>
      <c r="D94" s="17"/>
      <c r="I94" s="11"/>
      <c r="J94" s="11"/>
    </row>
    <row r="95" spans="1:10" x14ac:dyDescent="0.3">
      <c r="A95" s="11"/>
      <c r="B95" s="17"/>
      <c r="C95" s="17"/>
      <c r="D95" s="17"/>
      <c r="I95" s="11"/>
      <c r="J95" s="11"/>
    </row>
    <row r="96" spans="1:10" x14ac:dyDescent="0.3">
      <c r="A96" s="11"/>
      <c r="B96" s="17"/>
      <c r="C96" s="17"/>
      <c r="D96" s="17"/>
      <c r="I96" s="11"/>
      <c r="J96" s="11"/>
    </row>
    <row r="97" spans="1:10" x14ac:dyDescent="0.3">
      <c r="A97" s="11"/>
      <c r="B97" s="17"/>
      <c r="C97" s="17"/>
      <c r="D97" s="17"/>
      <c r="I97" s="11"/>
      <c r="J97" s="11"/>
    </row>
    <row r="98" spans="1:10" x14ac:dyDescent="0.3">
      <c r="A98" s="11"/>
      <c r="B98" s="17"/>
      <c r="C98" s="17"/>
      <c r="D98" s="17"/>
      <c r="I98" s="11"/>
      <c r="J98" s="11"/>
    </row>
    <row r="99" spans="1:10" x14ac:dyDescent="0.3">
      <c r="A99" s="11"/>
      <c r="B99" s="17"/>
      <c r="C99" s="17"/>
      <c r="D99" s="17"/>
      <c r="I99" s="11"/>
      <c r="J99" s="11"/>
    </row>
    <row r="100" spans="1:10" x14ac:dyDescent="0.3">
      <c r="A100" s="11"/>
      <c r="B100" s="17"/>
      <c r="C100" s="17"/>
      <c r="D100" s="17"/>
      <c r="I100" s="11"/>
      <c r="J100" s="11"/>
    </row>
    <row r="101" spans="1:10" x14ac:dyDescent="0.3">
      <c r="A101" s="11"/>
      <c r="B101" s="17"/>
      <c r="C101" s="17"/>
      <c r="D101" s="17"/>
      <c r="I101" s="11"/>
      <c r="J101" s="11"/>
    </row>
    <row r="102" spans="1:10" x14ac:dyDescent="0.3">
      <c r="A102" s="11"/>
      <c r="B102" s="17"/>
      <c r="C102" s="17"/>
      <c r="D102" s="17"/>
      <c r="I102" s="11"/>
      <c r="J102" s="11"/>
    </row>
    <row r="103" spans="1:10" x14ac:dyDescent="0.3">
      <c r="A103" s="11"/>
      <c r="B103" s="17"/>
      <c r="C103" s="17"/>
      <c r="D103" s="17"/>
      <c r="I103" s="11"/>
      <c r="J103" s="11"/>
    </row>
    <row r="104" spans="1:10" x14ac:dyDescent="0.3">
      <c r="A104" s="11"/>
      <c r="B104" s="17"/>
      <c r="C104" s="17"/>
      <c r="D104" s="17"/>
      <c r="I104" s="11"/>
      <c r="J104" s="11"/>
    </row>
    <row r="105" spans="1:10" x14ac:dyDescent="0.3">
      <c r="A105" s="11"/>
      <c r="B105" s="17"/>
      <c r="C105" s="17"/>
      <c r="D105" s="17"/>
      <c r="I105" s="11"/>
      <c r="J105" s="11"/>
    </row>
    <row r="106" spans="1:10" x14ac:dyDescent="0.3">
      <c r="A106" s="11"/>
      <c r="B106" s="17"/>
      <c r="C106" s="17"/>
      <c r="D106" s="17"/>
      <c r="I106" s="11"/>
      <c r="J106" s="11"/>
    </row>
    <row r="107" spans="1:10" x14ac:dyDescent="0.3">
      <c r="A107" s="11"/>
      <c r="B107" s="17"/>
      <c r="C107" s="17"/>
      <c r="D107" s="17"/>
      <c r="I107" s="11"/>
      <c r="J107" s="11"/>
    </row>
    <row r="108" spans="1:10" x14ac:dyDescent="0.3">
      <c r="A108" s="11"/>
      <c r="B108" s="17"/>
      <c r="C108" s="17"/>
      <c r="D108" s="17"/>
      <c r="I108" s="11"/>
      <c r="J108" s="11"/>
    </row>
    <row r="109" spans="1:10" x14ac:dyDescent="0.3">
      <c r="A109" s="11"/>
      <c r="B109" s="17"/>
      <c r="C109" s="17"/>
      <c r="D109" s="17"/>
      <c r="I109" s="11"/>
      <c r="J109" s="11"/>
    </row>
    <row r="110" spans="1:10" x14ac:dyDescent="0.3">
      <c r="A110" s="11"/>
      <c r="B110" s="17"/>
      <c r="C110" s="17"/>
      <c r="D110" s="17"/>
      <c r="I110" s="11"/>
      <c r="J110" s="11"/>
    </row>
    <row r="111" spans="1:10" x14ac:dyDescent="0.3">
      <c r="A111" s="11"/>
      <c r="B111" s="17"/>
      <c r="C111" s="17"/>
      <c r="D111" s="17"/>
      <c r="I111" s="11"/>
      <c r="J111" s="11"/>
    </row>
    <row r="112" spans="1:10" x14ac:dyDescent="0.3">
      <c r="A112" s="11"/>
      <c r="B112" s="17"/>
      <c r="C112" s="17"/>
      <c r="D112" s="17"/>
      <c r="I112" s="11"/>
      <c r="J112" s="11"/>
    </row>
    <row r="113" spans="1:10" x14ac:dyDescent="0.3">
      <c r="A113" s="11"/>
      <c r="B113" s="17"/>
      <c r="C113" s="17"/>
      <c r="D113" s="17"/>
      <c r="I113" s="11"/>
      <c r="J113" s="11"/>
    </row>
    <row r="114" spans="1:10" x14ac:dyDescent="0.3">
      <c r="A114" s="11"/>
      <c r="B114" s="17"/>
      <c r="C114" s="17"/>
      <c r="D114" s="17"/>
      <c r="I114" s="11"/>
      <c r="J114" s="11"/>
    </row>
    <row r="115" spans="1:10" x14ac:dyDescent="0.3">
      <c r="A115" s="11"/>
      <c r="B115" s="17"/>
      <c r="C115" s="17"/>
      <c r="D115" s="17"/>
      <c r="I115" s="11"/>
      <c r="J115" s="11"/>
    </row>
    <row r="116" spans="1:10" x14ac:dyDescent="0.3">
      <c r="A116" s="11"/>
      <c r="B116" s="17"/>
      <c r="C116" s="17"/>
      <c r="D116" s="17"/>
      <c r="I116" s="11"/>
      <c r="J116" s="11"/>
    </row>
    <row r="117" spans="1:10" x14ac:dyDescent="0.3">
      <c r="A117" s="11"/>
      <c r="B117" s="17"/>
      <c r="C117" s="17"/>
      <c r="D117" s="17"/>
      <c r="I117" s="11"/>
      <c r="J117" s="11"/>
    </row>
    <row r="118" spans="1:10" x14ac:dyDescent="0.3">
      <c r="A118" s="11"/>
      <c r="B118" s="17"/>
      <c r="C118" s="17"/>
      <c r="D118" s="17"/>
      <c r="I118" s="11"/>
      <c r="J118" s="11"/>
    </row>
    <row r="119" spans="1:10" x14ac:dyDescent="0.3">
      <c r="A119" s="11"/>
      <c r="B119" s="17"/>
      <c r="C119" s="17"/>
      <c r="D119" s="17"/>
      <c r="I119" s="11"/>
      <c r="J119" s="11"/>
    </row>
    <row r="120" spans="1:10" x14ac:dyDescent="0.3">
      <c r="A120" s="11"/>
      <c r="B120" s="17"/>
      <c r="C120" s="17"/>
      <c r="D120" s="17"/>
      <c r="I120" s="11"/>
      <c r="J120" s="11"/>
    </row>
    <row r="121" spans="1:10" x14ac:dyDescent="0.3">
      <c r="A121" s="11"/>
      <c r="B121" s="17"/>
      <c r="C121" s="17"/>
      <c r="D121" s="17"/>
      <c r="I121" s="11"/>
      <c r="J121" s="11"/>
    </row>
    <row r="122" spans="1:10" x14ac:dyDescent="0.3">
      <c r="A122" s="11"/>
      <c r="B122" s="17"/>
      <c r="C122" s="17"/>
      <c r="D122" s="17"/>
      <c r="I122" s="11"/>
      <c r="J122" s="11"/>
    </row>
    <row r="123" spans="1:10" x14ac:dyDescent="0.3">
      <c r="A123" s="11"/>
      <c r="B123" s="17"/>
      <c r="C123" s="17"/>
      <c r="D123" s="17"/>
      <c r="I123" s="11"/>
      <c r="J123" s="11"/>
    </row>
    <row r="124" spans="1:10" x14ac:dyDescent="0.3">
      <c r="A124" s="11"/>
      <c r="B124" s="17"/>
      <c r="C124" s="17"/>
      <c r="D124" s="17"/>
      <c r="I124" s="11"/>
      <c r="J124" s="11"/>
    </row>
    <row r="125" spans="1:10" x14ac:dyDescent="0.3">
      <c r="A125" s="11"/>
      <c r="B125" s="17"/>
      <c r="C125" s="17"/>
      <c r="D125" s="17"/>
      <c r="I125" s="11"/>
      <c r="J125" s="11"/>
    </row>
    <row r="126" spans="1:10" x14ac:dyDescent="0.3">
      <c r="A126" s="11"/>
      <c r="B126" s="17"/>
      <c r="C126" s="17"/>
      <c r="D126" s="17"/>
      <c r="I126" s="11"/>
      <c r="J126" s="11"/>
    </row>
    <row r="127" spans="1:10" x14ac:dyDescent="0.3">
      <c r="A127" s="11"/>
      <c r="B127" s="17"/>
      <c r="C127" s="17"/>
      <c r="D127" s="17"/>
      <c r="I127" s="11"/>
      <c r="J127" s="11"/>
    </row>
    <row r="128" spans="1:10" x14ac:dyDescent="0.3">
      <c r="A128" s="11"/>
      <c r="B128" s="17"/>
      <c r="C128" s="17"/>
      <c r="D128" s="17"/>
      <c r="I128" s="11"/>
      <c r="J128" s="11"/>
    </row>
    <row r="129" spans="1:10" x14ac:dyDescent="0.3">
      <c r="A129" s="11"/>
      <c r="B129" s="17"/>
      <c r="C129" s="17"/>
      <c r="D129" s="17"/>
      <c r="I129" s="11"/>
      <c r="J129" s="11"/>
    </row>
    <row r="130" spans="1:10" x14ac:dyDescent="0.3">
      <c r="A130" s="11"/>
      <c r="B130" s="17"/>
      <c r="C130" s="17"/>
      <c r="D130" s="17"/>
      <c r="I130" s="11"/>
      <c r="J130" s="11"/>
    </row>
    <row r="131" spans="1:10" x14ac:dyDescent="0.3">
      <c r="A131" s="11"/>
      <c r="B131" s="17"/>
      <c r="C131" s="17"/>
      <c r="D131" s="17"/>
      <c r="I131" s="11"/>
      <c r="J131" s="11"/>
    </row>
    <row r="132" spans="1:10" x14ac:dyDescent="0.3">
      <c r="A132" s="11"/>
      <c r="B132" s="17"/>
      <c r="C132" s="17"/>
      <c r="D132" s="17"/>
      <c r="I132" s="11"/>
      <c r="J132" s="11"/>
    </row>
    <row r="133" spans="1:10" x14ac:dyDescent="0.3">
      <c r="A133" s="11"/>
      <c r="B133" s="17"/>
      <c r="C133" s="17"/>
      <c r="D133" s="17"/>
      <c r="I133" s="11"/>
      <c r="J133" s="11"/>
    </row>
    <row r="134" spans="1:10" x14ac:dyDescent="0.3">
      <c r="A134" s="11"/>
      <c r="B134" s="17"/>
      <c r="C134" s="17"/>
      <c r="D134" s="17"/>
      <c r="I134" s="11"/>
      <c r="J134" s="11"/>
    </row>
    <row r="135" spans="1:10" x14ac:dyDescent="0.3">
      <c r="A135" s="11"/>
      <c r="B135" s="17"/>
      <c r="C135" s="17"/>
      <c r="D135" s="17"/>
      <c r="I135" s="11"/>
      <c r="J135" s="11"/>
    </row>
    <row r="136" spans="1:10" x14ac:dyDescent="0.3">
      <c r="A136" s="11"/>
      <c r="B136" s="17"/>
      <c r="C136" s="17"/>
      <c r="D136" s="17"/>
      <c r="I136" s="11"/>
      <c r="J136" s="11"/>
    </row>
    <row r="137" spans="1:10" x14ac:dyDescent="0.3">
      <c r="A137" s="11"/>
      <c r="B137" s="17"/>
      <c r="C137" s="17"/>
      <c r="D137" s="17"/>
      <c r="I137" s="11"/>
      <c r="J137" s="11"/>
    </row>
    <row r="138" spans="1:10" x14ac:dyDescent="0.3">
      <c r="A138" s="11"/>
      <c r="B138" s="17"/>
      <c r="C138" s="17"/>
      <c r="D138" s="17"/>
      <c r="I138" s="11"/>
      <c r="J138" s="11"/>
    </row>
    <row r="139" spans="1:10" x14ac:dyDescent="0.3">
      <c r="A139" s="11"/>
      <c r="B139" s="17"/>
      <c r="C139" s="17"/>
      <c r="D139" s="17"/>
      <c r="I139" s="11"/>
      <c r="J139" s="11"/>
    </row>
    <row r="140" spans="1:10" x14ac:dyDescent="0.3">
      <c r="A140" s="11"/>
      <c r="B140" s="17"/>
      <c r="C140" s="17"/>
      <c r="D140" s="17"/>
      <c r="I140" s="11"/>
      <c r="J140" s="11"/>
    </row>
    <row r="141" spans="1:10" x14ac:dyDescent="0.3">
      <c r="A141" s="11"/>
      <c r="B141" s="17"/>
      <c r="C141" s="17"/>
      <c r="D141" s="17"/>
      <c r="I141" s="11"/>
      <c r="J141" s="11"/>
    </row>
    <row r="142" spans="1:10" x14ac:dyDescent="0.3">
      <c r="A142" s="11"/>
      <c r="B142" s="17"/>
      <c r="C142" s="17"/>
      <c r="D142" s="17"/>
      <c r="I142" s="11"/>
      <c r="J142" s="11"/>
    </row>
    <row r="143" spans="1:10" x14ac:dyDescent="0.3">
      <c r="A143" s="11"/>
      <c r="B143" s="17"/>
      <c r="C143" s="17"/>
      <c r="D143" s="17"/>
      <c r="I143" s="11"/>
      <c r="J143" s="11"/>
    </row>
    <row r="144" spans="1:10" x14ac:dyDescent="0.3">
      <c r="A144" s="11"/>
      <c r="B144" s="17"/>
      <c r="C144" s="17"/>
      <c r="D144" s="17"/>
      <c r="I144" s="11"/>
      <c r="J144" s="11"/>
    </row>
    <row r="145" spans="1:10" x14ac:dyDescent="0.3">
      <c r="A145" s="11"/>
      <c r="B145" s="17"/>
      <c r="C145" s="17"/>
      <c r="D145" s="17"/>
      <c r="I145" s="11"/>
      <c r="J145" s="11"/>
    </row>
    <row r="146" spans="1:10" x14ac:dyDescent="0.3">
      <c r="A146" s="11"/>
      <c r="B146" s="17"/>
      <c r="C146" s="17"/>
      <c r="D146" s="17"/>
      <c r="I146" s="11"/>
      <c r="J146" s="11"/>
    </row>
    <row r="147" spans="1:10" x14ac:dyDescent="0.3">
      <c r="A147" s="11"/>
      <c r="B147" s="17"/>
      <c r="C147" s="17"/>
      <c r="D147" s="17"/>
      <c r="I147" s="11"/>
      <c r="J147" s="11"/>
    </row>
    <row r="148" spans="1:10" x14ac:dyDescent="0.3">
      <c r="A148" s="11"/>
      <c r="B148" s="17"/>
      <c r="C148" s="17"/>
      <c r="D148" s="17"/>
      <c r="I148" s="11"/>
      <c r="J148" s="11"/>
    </row>
    <row r="149" spans="1:10" x14ac:dyDescent="0.3">
      <c r="A149" s="11"/>
      <c r="B149" s="17"/>
      <c r="C149" s="17"/>
      <c r="D149" s="17"/>
      <c r="I149" s="11"/>
      <c r="J149" s="11"/>
    </row>
    <row r="150" spans="1:10" x14ac:dyDescent="0.3">
      <c r="A150" s="11"/>
      <c r="B150" s="17"/>
      <c r="C150" s="17"/>
      <c r="D150" s="17"/>
      <c r="I150" s="11"/>
      <c r="J150" s="11"/>
    </row>
    <row r="151" spans="1:10" x14ac:dyDescent="0.3">
      <c r="A151" s="11"/>
      <c r="B151" s="17"/>
      <c r="C151" s="17"/>
      <c r="D151" s="17"/>
      <c r="I151" s="11"/>
      <c r="J151" s="11"/>
    </row>
    <row r="152" spans="1:10" x14ac:dyDescent="0.3">
      <c r="A152" s="11"/>
      <c r="B152" s="17"/>
      <c r="C152" s="17"/>
      <c r="D152" s="17"/>
      <c r="I152" s="11"/>
      <c r="J152" s="11"/>
    </row>
    <row r="153" spans="1:10" x14ac:dyDescent="0.3">
      <c r="A153" s="11"/>
      <c r="B153" s="17"/>
      <c r="C153" s="17"/>
      <c r="D153" s="17"/>
      <c r="I153" s="11"/>
      <c r="J153" s="11"/>
    </row>
    <row r="154" spans="1:10" x14ac:dyDescent="0.3">
      <c r="A154" s="11"/>
      <c r="B154" s="17"/>
      <c r="C154" s="17"/>
      <c r="D154" s="17"/>
      <c r="I154" s="11"/>
      <c r="J154" s="11"/>
    </row>
    <row r="155" spans="1:10" x14ac:dyDescent="0.3">
      <c r="A155" s="11"/>
      <c r="B155" s="17"/>
      <c r="C155" s="17"/>
      <c r="D155" s="17"/>
      <c r="I155" s="11"/>
      <c r="J155" s="11"/>
    </row>
    <row r="156" spans="1:10" x14ac:dyDescent="0.3">
      <c r="A156" s="11"/>
      <c r="B156" s="17"/>
      <c r="C156" s="17"/>
      <c r="D156" s="17"/>
      <c r="I156" s="11"/>
      <c r="J156" s="11"/>
    </row>
    <row r="157" spans="1:10" x14ac:dyDescent="0.3">
      <c r="A157" s="11"/>
      <c r="B157" s="17"/>
      <c r="C157" s="17"/>
      <c r="D157" s="17"/>
      <c r="I157" s="11"/>
      <c r="J157" s="11"/>
    </row>
    <row r="158" spans="1:10" x14ac:dyDescent="0.3">
      <c r="A158" s="11"/>
      <c r="B158" s="17"/>
      <c r="C158" s="17"/>
      <c r="D158" s="17"/>
      <c r="I158" s="11"/>
      <c r="J158" s="11"/>
    </row>
    <row r="159" spans="1:10" x14ac:dyDescent="0.3">
      <c r="A159" s="11"/>
      <c r="B159" s="17"/>
      <c r="C159" s="17"/>
      <c r="D159" s="17"/>
      <c r="I159" s="11"/>
      <c r="J159" s="11"/>
    </row>
    <row r="160" spans="1:10" x14ac:dyDescent="0.3">
      <c r="A160" s="11"/>
      <c r="B160" s="17"/>
      <c r="C160" s="17"/>
      <c r="D160" s="17"/>
      <c r="I160" s="11"/>
      <c r="J160" s="11"/>
    </row>
    <row r="161" spans="1:10" x14ac:dyDescent="0.3">
      <c r="A161" s="11"/>
      <c r="B161" s="17"/>
      <c r="C161" s="17"/>
      <c r="D161" s="17"/>
      <c r="I161" s="11"/>
      <c r="J161" s="11"/>
    </row>
    <row r="162" spans="1:10" x14ac:dyDescent="0.3">
      <c r="A162" s="11"/>
      <c r="B162" s="17"/>
      <c r="C162" s="17"/>
      <c r="D162" s="17"/>
      <c r="I162" s="11"/>
      <c r="J162" s="11"/>
    </row>
    <row r="163" spans="1:10" x14ac:dyDescent="0.3">
      <c r="A163" s="11"/>
      <c r="B163" s="17"/>
      <c r="C163" s="17"/>
      <c r="D163" s="17"/>
      <c r="I163" s="11"/>
      <c r="J163" s="11"/>
    </row>
    <row r="164" spans="1:10" x14ac:dyDescent="0.3">
      <c r="A164" s="11"/>
      <c r="B164" s="17"/>
      <c r="C164" s="17"/>
      <c r="D164" s="17"/>
      <c r="I164" s="11"/>
      <c r="J164" s="11"/>
    </row>
    <row r="165" spans="1:10" x14ac:dyDescent="0.3">
      <c r="A165" s="11"/>
      <c r="B165" s="17"/>
      <c r="C165" s="17"/>
      <c r="D165" s="17"/>
      <c r="I165" s="11"/>
      <c r="J165" s="11"/>
    </row>
    <row r="166" spans="1:10" x14ac:dyDescent="0.3">
      <c r="A166" s="11"/>
      <c r="B166" s="17"/>
      <c r="C166" s="17"/>
      <c r="D166" s="17"/>
      <c r="I166" s="11"/>
      <c r="J166" s="11"/>
    </row>
    <row r="167" spans="1:10" x14ac:dyDescent="0.3">
      <c r="A167" s="11"/>
      <c r="B167" s="17"/>
      <c r="C167" s="17"/>
      <c r="D167" s="17"/>
      <c r="I167" s="11"/>
      <c r="J167" s="11"/>
    </row>
    <row r="168" spans="1:10" x14ac:dyDescent="0.3">
      <c r="A168" s="11"/>
      <c r="B168" s="17"/>
      <c r="C168" s="17"/>
      <c r="D168" s="17"/>
      <c r="I168" s="11"/>
      <c r="J168" s="11"/>
    </row>
    <row r="169" spans="1:10" x14ac:dyDescent="0.3">
      <c r="A169" s="11"/>
      <c r="B169" s="17"/>
      <c r="C169" s="17"/>
      <c r="D169" s="17"/>
      <c r="I169" s="11"/>
      <c r="J169" s="11"/>
    </row>
    <row r="170" spans="1:10" x14ac:dyDescent="0.3">
      <c r="A170" s="11"/>
      <c r="B170" s="17"/>
      <c r="C170" s="17"/>
      <c r="D170" s="17"/>
      <c r="I170" s="11"/>
      <c r="J170" s="11"/>
    </row>
    <row r="171" spans="1:10" x14ac:dyDescent="0.3">
      <c r="A171" s="11"/>
      <c r="B171" s="17"/>
      <c r="C171" s="17"/>
      <c r="D171" s="17"/>
      <c r="I171" s="11"/>
      <c r="J171" s="11"/>
    </row>
    <row r="172" spans="1:10" x14ac:dyDescent="0.3">
      <c r="A172" s="11"/>
      <c r="B172" s="17"/>
      <c r="C172" s="17"/>
      <c r="D172" s="17"/>
      <c r="I172" s="11"/>
      <c r="J172" s="11"/>
    </row>
    <row r="173" spans="1:10" x14ac:dyDescent="0.3">
      <c r="A173" s="11"/>
      <c r="B173" s="17"/>
      <c r="C173" s="17"/>
      <c r="D173" s="17"/>
      <c r="I173" s="11"/>
      <c r="J173" s="11"/>
    </row>
    <row r="174" spans="1:10" x14ac:dyDescent="0.3">
      <c r="A174" s="11"/>
      <c r="B174" s="17"/>
      <c r="C174" s="17"/>
      <c r="D174" s="17"/>
      <c r="I174" s="11"/>
      <c r="J174" s="11"/>
    </row>
    <row r="175" spans="1:10" x14ac:dyDescent="0.3">
      <c r="A175" s="11"/>
      <c r="B175" s="17"/>
      <c r="C175" s="17"/>
      <c r="D175" s="17"/>
      <c r="I175" s="11"/>
      <c r="J175" s="11"/>
    </row>
    <row r="176" spans="1:10" x14ac:dyDescent="0.3">
      <c r="A176" s="11"/>
      <c r="B176" s="17"/>
      <c r="C176" s="17"/>
      <c r="D176" s="17"/>
      <c r="I176" s="11"/>
      <c r="J176" s="11"/>
    </row>
    <row r="177" spans="1:10" x14ac:dyDescent="0.3">
      <c r="A177" s="11"/>
      <c r="B177" s="17"/>
      <c r="C177" s="17"/>
      <c r="D177" s="17"/>
      <c r="I177" s="11"/>
      <c r="J177" s="11"/>
    </row>
    <row r="178" spans="1:10" x14ac:dyDescent="0.3">
      <c r="A178" s="11"/>
      <c r="B178" s="17"/>
      <c r="C178" s="17"/>
      <c r="D178" s="17"/>
      <c r="I178" s="11"/>
      <c r="J178" s="11"/>
    </row>
    <row r="179" spans="1:10" x14ac:dyDescent="0.3">
      <c r="A179" s="11"/>
      <c r="B179" s="17"/>
      <c r="C179" s="17"/>
      <c r="D179" s="17"/>
      <c r="I179" s="11"/>
      <c r="J179" s="11"/>
    </row>
    <row r="180" spans="1:10" x14ac:dyDescent="0.3">
      <c r="A180" s="11"/>
      <c r="B180" s="17"/>
      <c r="C180" s="17"/>
      <c r="D180" s="17"/>
      <c r="I180" s="11"/>
      <c r="J180" s="11"/>
    </row>
    <row r="181" spans="1:10" x14ac:dyDescent="0.3">
      <c r="A181" s="11"/>
      <c r="B181" s="17"/>
      <c r="C181" s="17"/>
      <c r="D181" s="17"/>
      <c r="I181" s="11"/>
      <c r="J181" s="11"/>
    </row>
    <row r="182" spans="1:10" x14ac:dyDescent="0.3">
      <c r="A182" s="11"/>
      <c r="B182" s="17"/>
      <c r="C182" s="17"/>
      <c r="D182" s="17"/>
      <c r="I182" s="11"/>
      <c r="J182" s="11"/>
    </row>
    <row r="183" spans="1:10" x14ac:dyDescent="0.3">
      <c r="A183" s="11"/>
      <c r="B183" s="17"/>
      <c r="C183" s="17"/>
      <c r="D183" s="17"/>
      <c r="I183" s="11"/>
      <c r="J183" s="11"/>
    </row>
    <row r="184" spans="1:10" x14ac:dyDescent="0.3">
      <c r="A184" s="11"/>
      <c r="B184" s="17"/>
      <c r="C184" s="17"/>
      <c r="D184" s="17"/>
      <c r="I184" s="11"/>
      <c r="J184" s="11"/>
    </row>
    <row r="185" spans="1:10" x14ac:dyDescent="0.3">
      <c r="A185" s="11"/>
      <c r="B185" s="17"/>
      <c r="C185" s="17"/>
      <c r="D185" s="17"/>
      <c r="I185" s="11"/>
      <c r="J185" s="11"/>
    </row>
    <row r="186" spans="1:10" x14ac:dyDescent="0.3">
      <c r="A186" s="11"/>
      <c r="B186" s="17"/>
      <c r="C186" s="17"/>
      <c r="D186" s="17"/>
      <c r="I186" s="11"/>
      <c r="J186" s="11"/>
    </row>
    <row r="187" spans="1:10" x14ac:dyDescent="0.3">
      <c r="A187" s="11"/>
      <c r="B187" s="17"/>
      <c r="C187" s="17"/>
      <c r="D187" s="17"/>
      <c r="I187" s="11"/>
      <c r="J187" s="11"/>
    </row>
    <row r="188" spans="1:10" x14ac:dyDescent="0.3">
      <c r="A188" s="11"/>
      <c r="B188" s="17"/>
      <c r="C188" s="17"/>
      <c r="D188" s="17"/>
      <c r="I188" s="11"/>
      <c r="J188" s="11"/>
    </row>
    <row r="189" spans="1:10" x14ac:dyDescent="0.3">
      <c r="A189" s="11"/>
      <c r="B189" s="17"/>
      <c r="C189" s="17"/>
      <c r="D189" s="17"/>
      <c r="I189" s="11"/>
      <c r="J189" s="11"/>
    </row>
    <row r="190" spans="1:10" x14ac:dyDescent="0.3">
      <c r="A190" s="11"/>
      <c r="B190" s="17"/>
      <c r="C190" s="17"/>
      <c r="D190" s="17"/>
      <c r="I190" s="11"/>
      <c r="J190" s="11"/>
    </row>
    <row r="191" spans="1:10" x14ac:dyDescent="0.3">
      <c r="A191" s="11"/>
      <c r="B191" s="17"/>
      <c r="C191" s="17"/>
      <c r="D191" s="17"/>
      <c r="I191" s="11"/>
      <c r="J191" s="11"/>
    </row>
    <row r="192" spans="1:10" x14ac:dyDescent="0.3">
      <c r="A192" s="11"/>
      <c r="B192" s="17"/>
      <c r="C192" s="17"/>
      <c r="D192" s="17"/>
      <c r="I192" s="11"/>
      <c r="J192" s="11"/>
    </row>
    <row r="193" spans="1:10" x14ac:dyDescent="0.3">
      <c r="A193" s="11"/>
      <c r="B193" s="17"/>
      <c r="C193" s="17"/>
      <c r="D193" s="17"/>
      <c r="I193" s="11"/>
      <c r="J193" s="11"/>
    </row>
    <row r="194" spans="1:10" x14ac:dyDescent="0.3">
      <c r="A194" s="11"/>
      <c r="B194" s="17"/>
      <c r="C194" s="17"/>
      <c r="D194" s="17"/>
      <c r="I194" s="11"/>
      <c r="J194" s="11"/>
    </row>
  </sheetData>
  <pageMargins left="0.75" right="0.75" top="0.75" bottom="0.5" header="0.5" footer="0.7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tn">
                <anchor>
                  <from>
                    <xdr:col>0</xdr:col>
                    <xdr:colOff>198120</xdr:colOff>
                    <xdr:row>0</xdr:row>
                    <xdr:rowOff>114300</xdr:rowOff>
                  </from>
                  <to>
                    <xdr:col>0</xdr:col>
                    <xdr:colOff>1127760</xdr:colOff>
                    <xdr:row>0</xdr:row>
                    <xdr:rowOff>335280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73F61-85B4-4694-82B1-A26C6330C2E5}">
  <sheetPr codeName="Sheet4"/>
  <dimension ref="A3:L16"/>
  <sheetViews>
    <sheetView workbookViewId="0">
      <selection activeCell="F27" sqref="F27"/>
    </sheetView>
  </sheetViews>
  <sheetFormatPr defaultRowHeight="14.4" x14ac:dyDescent="0.3"/>
  <cols>
    <col min="1" max="1" width="11" customWidth="1"/>
    <col min="6" max="6" width="28.5546875" bestFit="1" customWidth="1"/>
    <col min="11" max="11" width="28.5546875" bestFit="1" customWidth="1"/>
  </cols>
  <sheetData>
    <row r="3" spans="1:12" ht="28.8" x14ac:dyDescent="0.3">
      <c r="A3" t="s">
        <v>4</v>
      </c>
      <c r="B3" t="s">
        <v>2</v>
      </c>
      <c r="C3" s="1" t="s">
        <v>10</v>
      </c>
    </row>
    <row r="4" spans="1:12" x14ac:dyDescent="0.3">
      <c r="A4" t="s">
        <v>42</v>
      </c>
      <c r="B4" t="s">
        <v>43</v>
      </c>
      <c r="C4">
        <v>10</v>
      </c>
      <c r="E4" s="14" t="s">
        <v>44</v>
      </c>
      <c r="F4" s="14" t="s">
        <v>45</v>
      </c>
      <c r="G4" s="14" t="s">
        <v>46</v>
      </c>
    </row>
    <row r="5" spans="1:12" x14ac:dyDescent="0.3">
      <c r="A5" t="s">
        <v>5</v>
      </c>
      <c r="B5" t="s">
        <v>47</v>
      </c>
      <c r="C5">
        <v>40</v>
      </c>
      <c r="E5" t="s">
        <v>48</v>
      </c>
      <c r="F5" t="s">
        <v>49</v>
      </c>
      <c r="G5" t="s">
        <v>50</v>
      </c>
      <c r="J5" t="s">
        <v>51</v>
      </c>
      <c r="K5" t="s">
        <v>52</v>
      </c>
      <c r="L5" t="s">
        <v>28</v>
      </c>
    </row>
    <row r="6" spans="1:12" x14ac:dyDescent="0.3">
      <c r="B6" t="s">
        <v>53</v>
      </c>
      <c r="C6">
        <v>20</v>
      </c>
      <c r="E6" t="s">
        <v>54</v>
      </c>
      <c r="F6" t="s">
        <v>55</v>
      </c>
      <c r="G6" t="s">
        <v>50</v>
      </c>
      <c r="J6" t="s">
        <v>56</v>
      </c>
      <c r="K6" t="s">
        <v>57</v>
      </c>
      <c r="L6" t="s">
        <v>58</v>
      </c>
    </row>
    <row r="7" spans="1:12" x14ac:dyDescent="0.3">
      <c r="B7" t="s">
        <v>59</v>
      </c>
      <c r="C7">
        <v>11</v>
      </c>
      <c r="E7" t="s">
        <v>60</v>
      </c>
      <c r="F7" t="s">
        <v>61</v>
      </c>
      <c r="G7" t="s">
        <v>50</v>
      </c>
      <c r="J7" t="s">
        <v>62</v>
      </c>
      <c r="K7" t="s">
        <v>63</v>
      </c>
      <c r="L7" t="s">
        <v>58</v>
      </c>
    </row>
    <row r="8" spans="1:12" x14ac:dyDescent="0.3">
      <c r="B8" t="s">
        <v>3</v>
      </c>
      <c r="C8">
        <v>85</v>
      </c>
      <c r="E8" t="s">
        <v>64</v>
      </c>
      <c r="F8" t="s">
        <v>65</v>
      </c>
      <c r="G8" t="s">
        <v>50</v>
      </c>
      <c r="J8" t="s">
        <v>66</v>
      </c>
      <c r="K8" t="s">
        <v>67</v>
      </c>
      <c r="L8" t="s">
        <v>58</v>
      </c>
    </row>
    <row r="9" spans="1:12" x14ac:dyDescent="0.3">
      <c r="B9" t="s">
        <v>113</v>
      </c>
      <c r="C9">
        <v>50</v>
      </c>
      <c r="E9" t="s">
        <v>68</v>
      </c>
      <c r="F9" t="s">
        <v>69</v>
      </c>
      <c r="G9" t="s">
        <v>50</v>
      </c>
      <c r="J9" t="s">
        <v>70</v>
      </c>
      <c r="K9" t="s">
        <v>71</v>
      </c>
      <c r="L9" t="s">
        <v>58</v>
      </c>
    </row>
    <row r="10" spans="1:12" x14ac:dyDescent="0.3">
      <c r="E10" t="s">
        <v>72</v>
      </c>
      <c r="F10" t="s">
        <v>73</v>
      </c>
      <c r="G10" t="s">
        <v>50</v>
      </c>
      <c r="J10" t="s">
        <v>74</v>
      </c>
      <c r="K10" t="s">
        <v>75</v>
      </c>
      <c r="L10" t="s">
        <v>58</v>
      </c>
    </row>
    <row r="11" spans="1:12" x14ac:dyDescent="0.3">
      <c r="E11" t="s">
        <v>76</v>
      </c>
      <c r="F11" t="s">
        <v>77</v>
      </c>
      <c r="G11" t="s">
        <v>50</v>
      </c>
      <c r="J11" t="s">
        <v>78</v>
      </c>
      <c r="K11" t="s">
        <v>79</v>
      </c>
      <c r="L11" t="s">
        <v>58</v>
      </c>
    </row>
    <row r="12" spans="1:12" x14ac:dyDescent="0.3">
      <c r="E12" t="s">
        <v>80</v>
      </c>
      <c r="F12" t="s">
        <v>81</v>
      </c>
      <c r="G12" t="s">
        <v>50</v>
      </c>
      <c r="J12" t="s">
        <v>82</v>
      </c>
      <c r="K12" t="s">
        <v>83</v>
      </c>
      <c r="L12" t="s">
        <v>58</v>
      </c>
    </row>
    <row r="13" spans="1:12" x14ac:dyDescent="0.3">
      <c r="E13" t="s">
        <v>84</v>
      </c>
      <c r="F13" t="s">
        <v>85</v>
      </c>
      <c r="G13" t="s">
        <v>50</v>
      </c>
      <c r="J13" t="s">
        <v>86</v>
      </c>
      <c r="K13" t="s">
        <v>87</v>
      </c>
      <c r="L13" t="s">
        <v>58</v>
      </c>
    </row>
    <row r="14" spans="1:12" x14ac:dyDescent="0.3">
      <c r="E14" t="s">
        <v>88</v>
      </c>
      <c r="F14" t="s">
        <v>89</v>
      </c>
      <c r="G14" t="s">
        <v>50</v>
      </c>
      <c r="J14" t="s">
        <v>90</v>
      </c>
      <c r="K14" t="s">
        <v>91</v>
      </c>
      <c r="L14" t="s">
        <v>58</v>
      </c>
    </row>
    <row r="15" spans="1:12" x14ac:dyDescent="0.3">
      <c r="E15" t="s">
        <v>92</v>
      </c>
      <c r="F15" t="s">
        <v>93</v>
      </c>
      <c r="G15" t="s">
        <v>50</v>
      </c>
      <c r="J15" t="s">
        <v>94</v>
      </c>
      <c r="K15" t="s">
        <v>95</v>
      </c>
      <c r="L15" t="s">
        <v>58</v>
      </c>
    </row>
    <row r="16" spans="1:12" x14ac:dyDescent="0.3">
      <c r="E16" t="s">
        <v>96</v>
      </c>
      <c r="F16" t="s">
        <v>97</v>
      </c>
      <c r="G16" t="s">
        <v>50</v>
      </c>
      <c r="J16" t="s">
        <v>98</v>
      </c>
      <c r="K16" t="s">
        <v>99</v>
      </c>
      <c r="L16" t="s">
        <v>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8C555-6267-45BD-9CA3-D0E0CB9EEE86}">
  <sheetPr codeName="Sheet6">
    <tabColor rgb="FF92D050"/>
  </sheetPr>
  <dimension ref="A1:Y504"/>
  <sheetViews>
    <sheetView zoomScaleNormal="100" workbookViewId="0">
      <selection activeCell="A6" sqref="A6:W504"/>
    </sheetView>
  </sheetViews>
  <sheetFormatPr defaultColWidth="8.6640625" defaultRowHeight="14.4" x14ac:dyDescent="0.3"/>
  <cols>
    <col min="1" max="1" width="12" style="18" customWidth="1"/>
    <col min="2" max="2" width="52.88671875" style="18" bestFit="1" customWidth="1"/>
    <col min="3" max="3" width="17.33203125" style="18" customWidth="1"/>
    <col min="4" max="4" width="7.33203125" style="18" customWidth="1"/>
    <col min="5" max="5" width="11.6640625" style="18" customWidth="1"/>
    <col min="6" max="6" width="15.88671875" style="18" customWidth="1"/>
    <col min="7" max="7" width="16.33203125" style="18" customWidth="1"/>
    <col min="8" max="8" width="12.6640625" style="18" customWidth="1"/>
    <col min="9" max="9" width="10.33203125" style="18" customWidth="1"/>
    <col min="10" max="10" width="8.109375" style="18" customWidth="1"/>
    <col min="11" max="11" width="11.44140625" style="18" customWidth="1"/>
    <col min="12" max="12" width="14.6640625" style="18" customWidth="1"/>
    <col min="13" max="13" width="17.6640625" style="18" customWidth="1"/>
    <col min="14" max="14" width="15.5546875" style="18" customWidth="1"/>
    <col min="15" max="15" width="10.88671875" style="18" customWidth="1"/>
    <col min="16" max="16" width="16.5546875" style="18" customWidth="1"/>
    <col min="17" max="17" width="13.6640625" style="18" customWidth="1"/>
    <col min="18" max="18" width="19.33203125" style="18" customWidth="1"/>
    <col min="19" max="19" width="40.6640625" style="18" customWidth="1"/>
    <col min="20" max="20" width="15.33203125" style="18" customWidth="1"/>
    <col min="21" max="21" width="7.33203125" style="18" customWidth="1"/>
    <col min="22" max="22" width="21.6640625" style="18" customWidth="1"/>
    <col min="23" max="23" width="50" style="18" customWidth="1"/>
    <col min="24" max="24" width="15.6640625" style="18" customWidth="1"/>
    <col min="25" max="25" width="9" style="18" customWidth="1"/>
    <col min="26" max="16384" width="8.6640625" style="18"/>
  </cols>
  <sheetData>
    <row r="1" spans="1:25" ht="25.8" x14ac:dyDescent="0.5">
      <c r="A1" s="33" t="s">
        <v>101</v>
      </c>
      <c r="B1" s="33" t="s">
        <v>102</v>
      </c>
      <c r="C1" s="33" t="s">
        <v>102</v>
      </c>
      <c r="D1" s="33" t="s">
        <v>102</v>
      </c>
      <c r="E1" s="33" t="s">
        <v>102</v>
      </c>
      <c r="F1" s="33" t="s">
        <v>102</v>
      </c>
      <c r="G1" s="33" t="s">
        <v>102</v>
      </c>
      <c r="H1" s="33" t="s">
        <v>102</v>
      </c>
      <c r="I1" s="33" t="s">
        <v>102</v>
      </c>
      <c r="J1" s="33" t="s">
        <v>102</v>
      </c>
      <c r="K1" s="33" t="s">
        <v>102</v>
      </c>
      <c r="L1" s="33" t="s">
        <v>102</v>
      </c>
      <c r="M1" s="33" t="s">
        <v>102</v>
      </c>
      <c r="N1" s="33" t="s">
        <v>102</v>
      </c>
      <c r="O1" s="33" t="s">
        <v>102</v>
      </c>
      <c r="P1" s="33" t="s">
        <v>102</v>
      </c>
      <c r="Q1" s="33" t="s">
        <v>102</v>
      </c>
      <c r="R1" s="33" t="s">
        <v>102</v>
      </c>
      <c r="S1" s="33" t="s">
        <v>102</v>
      </c>
      <c r="T1" s="33" t="s">
        <v>102</v>
      </c>
      <c r="U1" s="33" t="s">
        <v>102</v>
      </c>
      <c r="V1" s="33" t="s">
        <v>102</v>
      </c>
      <c r="W1" s="33" t="s">
        <v>102</v>
      </c>
      <c r="X1" s="33" t="s">
        <v>102</v>
      </c>
    </row>
    <row r="2" spans="1:25" x14ac:dyDescent="0.3">
      <c r="A2" s="19" t="s">
        <v>103</v>
      </c>
      <c r="B2" s="19" t="s">
        <v>104</v>
      </c>
      <c r="C2" s="19" t="s">
        <v>105</v>
      </c>
      <c r="D2" s="19" t="s">
        <v>106</v>
      </c>
      <c r="E2" s="19" t="s">
        <v>107</v>
      </c>
      <c r="F2" s="19" t="s">
        <v>108</v>
      </c>
      <c r="G2" s="19" t="s">
        <v>109</v>
      </c>
      <c r="H2" s="19" t="s">
        <v>30</v>
      </c>
      <c r="I2" s="19" t="s">
        <v>102</v>
      </c>
      <c r="J2" s="19" t="s">
        <v>102</v>
      </c>
      <c r="K2" s="19" t="s">
        <v>102</v>
      </c>
      <c r="L2" s="19" t="s">
        <v>102</v>
      </c>
      <c r="M2" s="19" t="s">
        <v>102</v>
      </c>
      <c r="N2" s="19" t="s">
        <v>102</v>
      </c>
      <c r="O2" s="19" t="s">
        <v>102</v>
      </c>
      <c r="P2" s="19" t="s">
        <v>102</v>
      </c>
      <c r="Q2" s="19" t="s">
        <v>102</v>
      </c>
      <c r="R2" s="19" t="s">
        <v>102</v>
      </c>
      <c r="S2" s="19" t="s">
        <v>102</v>
      </c>
      <c r="T2" s="19" t="s">
        <v>102</v>
      </c>
      <c r="U2" s="19" t="s">
        <v>102</v>
      </c>
      <c r="V2" s="19" t="s">
        <v>102</v>
      </c>
      <c r="W2" s="19" t="s">
        <v>102</v>
      </c>
      <c r="X2" s="19" t="s">
        <v>102</v>
      </c>
    </row>
    <row r="3" spans="1:25" x14ac:dyDescent="0.3">
      <c r="A3" s="19"/>
      <c r="B3" s="19">
        <v>40</v>
      </c>
      <c r="C3" s="20">
        <v>44801</v>
      </c>
      <c r="D3" s="19"/>
      <c r="E3" s="19" t="s">
        <v>110</v>
      </c>
      <c r="F3" s="19" t="s">
        <v>102</v>
      </c>
      <c r="G3" s="19" t="s">
        <v>102</v>
      </c>
      <c r="H3" s="19" t="s">
        <v>102</v>
      </c>
      <c r="I3" s="19" t="s">
        <v>102</v>
      </c>
      <c r="J3" s="19" t="s">
        <v>102</v>
      </c>
      <c r="K3" s="19"/>
      <c r="L3" s="19" t="s">
        <v>102</v>
      </c>
      <c r="M3" s="19" t="s">
        <v>102</v>
      </c>
      <c r="N3" s="19" t="s">
        <v>102</v>
      </c>
      <c r="O3" s="19" t="s">
        <v>102</v>
      </c>
      <c r="P3" s="19" t="s">
        <v>102</v>
      </c>
      <c r="Q3" s="19" t="s">
        <v>102</v>
      </c>
      <c r="R3" s="19" t="s">
        <v>102</v>
      </c>
      <c r="S3" s="19" t="s">
        <v>102</v>
      </c>
      <c r="T3" s="19" t="s">
        <v>102</v>
      </c>
      <c r="U3" s="19" t="s">
        <v>102</v>
      </c>
      <c r="V3" s="19" t="s">
        <v>102</v>
      </c>
      <c r="W3" s="19" t="s">
        <v>102</v>
      </c>
      <c r="X3" s="19" t="s">
        <v>102</v>
      </c>
    </row>
    <row r="4" spans="1:25" ht="13.8" customHeight="1" x14ac:dyDescent="0.3">
      <c r="A4" s="21" t="s">
        <v>8</v>
      </c>
      <c r="B4" s="21" t="s">
        <v>9</v>
      </c>
      <c r="C4" s="21" t="s">
        <v>10</v>
      </c>
      <c r="D4" s="21" t="s">
        <v>11</v>
      </c>
      <c r="E4" s="21" t="s">
        <v>12</v>
      </c>
      <c r="F4" s="21" t="s">
        <v>13</v>
      </c>
      <c r="G4" s="21" t="s">
        <v>14</v>
      </c>
      <c r="H4" s="21" t="s">
        <v>15</v>
      </c>
      <c r="I4" s="21" t="s">
        <v>16</v>
      </c>
      <c r="J4" s="21" t="s">
        <v>17</v>
      </c>
      <c r="K4" s="21" t="s">
        <v>18</v>
      </c>
      <c r="L4" s="21" t="s">
        <v>19</v>
      </c>
      <c r="M4" s="21" t="s">
        <v>20</v>
      </c>
      <c r="N4" s="21" t="s">
        <v>21</v>
      </c>
      <c r="O4" s="21" t="s">
        <v>22</v>
      </c>
      <c r="P4" s="21" t="s">
        <v>23</v>
      </c>
      <c r="Q4" s="21" t="s">
        <v>24</v>
      </c>
      <c r="R4" s="21" t="s">
        <v>25</v>
      </c>
      <c r="S4" s="21" t="s">
        <v>26</v>
      </c>
      <c r="T4" s="21" t="s">
        <v>27</v>
      </c>
      <c r="U4" s="21" t="s">
        <v>28</v>
      </c>
      <c r="V4" s="21" t="s">
        <v>29</v>
      </c>
      <c r="W4" s="21" t="s">
        <v>30</v>
      </c>
      <c r="X4" s="21" t="s">
        <v>111</v>
      </c>
      <c r="Y4" s="21" t="s">
        <v>112</v>
      </c>
    </row>
    <row r="5" spans="1:25" ht="18" hidden="1" customHeight="1" x14ac:dyDescent="0.3">
      <c r="Y5" s="21" t="s">
        <v>112</v>
      </c>
    </row>
    <row r="6" spans="1:25" s="24" customFormat="1" x14ac:dyDescent="0.3">
      <c r="A6" s="22">
        <v>1</v>
      </c>
      <c r="B6" s="23" t="s">
        <v>211</v>
      </c>
      <c r="C6" s="22">
        <v>20</v>
      </c>
      <c r="D6" s="22"/>
      <c r="E6" s="24" t="s">
        <v>102</v>
      </c>
      <c r="H6" s="24" t="s">
        <v>255</v>
      </c>
      <c r="K6" s="25">
        <v>-70816.009999999995</v>
      </c>
      <c r="L6" s="26"/>
      <c r="M6" s="26"/>
      <c r="N6" s="26"/>
      <c r="O6" s="26"/>
      <c r="P6" s="26"/>
      <c r="Q6" s="26"/>
      <c r="R6" s="24" t="s">
        <v>256</v>
      </c>
      <c r="S6" s="24" t="s">
        <v>131</v>
      </c>
      <c r="W6" s="23" t="s">
        <v>211</v>
      </c>
      <c r="Y6" s="27"/>
    </row>
    <row r="7" spans="1:25" s="24" customFormat="1" x14ac:dyDescent="0.3">
      <c r="A7" s="22">
        <v>2</v>
      </c>
      <c r="B7" s="23" t="s">
        <v>212</v>
      </c>
      <c r="C7" s="22">
        <v>20</v>
      </c>
      <c r="D7" s="22"/>
      <c r="E7" s="24" t="s">
        <v>102</v>
      </c>
      <c r="H7" s="24" t="s">
        <v>257</v>
      </c>
      <c r="K7" s="25">
        <v>-28802</v>
      </c>
      <c r="L7" s="26"/>
      <c r="M7" s="26"/>
      <c r="N7" s="26"/>
      <c r="O7" s="26"/>
      <c r="P7" s="26"/>
      <c r="Q7" s="26"/>
      <c r="R7" s="24" t="s">
        <v>256</v>
      </c>
      <c r="S7" s="24" t="s">
        <v>131</v>
      </c>
      <c r="W7" s="23" t="s">
        <v>212</v>
      </c>
      <c r="Y7" s="27"/>
    </row>
    <row r="8" spans="1:25" s="24" customFormat="1" x14ac:dyDescent="0.3">
      <c r="A8" s="22">
        <v>3</v>
      </c>
      <c r="B8" s="23" t="s">
        <v>213</v>
      </c>
      <c r="C8" s="22">
        <v>20</v>
      </c>
      <c r="E8" s="24" t="s">
        <v>102</v>
      </c>
      <c r="H8" s="24" t="s">
        <v>135</v>
      </c>
      <c r="K8" s="25">
        <v>1143.45</v>
      </c>
      <c r="L8" s="26"/>
      <c r="M8" s="26"/>
      <c r="N8" s="26"/>
      <c r="O8" s="26"/>
      <c r="P8" s="26"/>
      <c r="Q8" s="26"/>
      <c r="R8" s="24" t="s">
        <v>256</v>
      </c>
      <c r="S8" s="24" t="s">
        <v>131</v>
      </c>
      <c r="W8" s="23" t="s">
        <v>213</v>
      </c>
    </row>
    <row r="9" spans="1:25" s="24" customFormat="1" x14ac:dyDescent="0.3">
      <c r="A9" s="22">
        <v>4</v>
      </c>
      <c r="B9" s="23" t="s">
        <v>214</v>
      </c>
      <c r="C9" s="22">
        <v>20</v>
      </c>
      <c r="E9" s="24" t="s">
        <v>102</v>
      </c>
      <c r="H9" s="24" t="s">
        <v>258</v>
      </c>
      <c r="K9" s="25">
        <v>1303.52</v>
      </c>
      <c r="L9" s="26"/>
      <c r="M9" s="26"/>
      <c r="N9" s="26"/>
      <c r="O9" s="26"/>
      <c r="P9" s="26"/>
      <c r="Q9" s="26"/>
      <c r="R9" s="24" t="s">
        <v>256</v>
      </c>
      <c r="S9" s="24" t="s">
        <v>131</v>
      </c>
      <c r="W9" s="23" t="s">
        <v>214</v>
      </c>
    </row>
    <row r="10" spans="1:25" s="24" customFormat="1" x14ac:dyDescent="0.3">
      <c r="A10" s="22">
        <v>5</v>
      </c>
      <c r="B10" s="23" t="s">
        <v>215</v>
      </c>
      <c r="C10" s="22">
        <v>20</v>
      </c>
      <c r="D10" s="24" t="s">
        <v>243</v>
      </c>
      <c r="E10" s="24" t="s">
        <v>116</v>
      </c>
      <c r="F10" s="24" t="s">
        <v>114</v>
      </c>
      <c r="H10" s="24" t="s">
        <v>102</v>
      </c>
      <c r="K10" s="25">
        <v>279.2</v>
      </c>
      <c r="L10" s="26"/>
      <c r="M10" s="26"/>
      <c r="N10" s="26"/>
      <c r="O10" s="26"/>
      <c r="P10" s="26"/>
      <c r="Q10" s="26"/>
      <c r="R10" s="24" t="s">
        <v>256</v>
      </c>
      <c r="S10" s="24" t="s">
        <v>131</v>
      </c>
      <c r="W10" s="23" t="s">
        <v>215</v>
      </c>
    </row>
    <row r="11" spans="1:25" s="24" customFormat="1" x14ac:dyDescent="0.3">
      <c r="A11" s="22">
        <v>6</v>
      </c>
      <c r="B11" s="23" t="s">
        <v>216</v>
      </c>
      <c r="C11" s="22">
        <v>20</v>
      </c>
      <c r="D11" s="24" t="s">
        <v>243</v>
      </c>
      <c r="E11" s="24" t="s">
        <v>115</v>
      </c>
      <c r="F11" s="24" t="s">
        <v>114</v>
      </c>
      <c r="H11" s="24" t="s">
        <v>102</v>
      </c>
      <c r="K11" s="25">
        <v>253.88</v>
      </c>
      <c r="L11" s="26"/>
      <c r="M11" s="26"/>
      <c r="N11" s="26"/>
      <c r="O11" s="26"/>
      <c r="P11" s="26"/>
      <c r="Q11" s="26"/>
      <c r="R11" s="24" t="s">
        <v>256</v>
      </c>
      <c r="S11" s="24" t="s">
        <v>131</v>
      </c>
      <c r="W11" s="23" t="s">
        <v>216</v>
      </c>
    </row>
    <row r="12" spans="1:25" s="24" customFormat="1" x14ac:dyDescent="0.3">
      <c r="A12" s="22">
        <v>7</v>
      </c>
      <c r="B12" s="23" t="s">
        <v>217</v>
      </c>
      <c r="C12" s="22">
        <v>20</v>
      </c>
      <c r="D12" s="24" t="s">
        <v>243</v>
      </c>
      <c r="E12" s="24" t="s">
        <v>121</v>
      </c>
      <c r="F12" s="24" t="s">
        <v>114</v>
      </c>
      <c r="H12" s="28" t="s">
        <v>102</v>
      </c>
      <c r="K12" s="25">
        <v>569.9</v>
      </c>
      <c r="L12" s="26"/>
      <c r="M12" s="26"/>
      <c r="N12" s="26"/>
      <c r="O12" s="26"/>
      <c r="P12" s="26"/>
      <c r="Q12" s="26"/>
      <c r="R12" s="24" t="s">
        <v>256</v>
      </c>
      <c r="S12" s="24" t="s">
        <v>131</v>
      </c>
      <c r="W12" s="23" t="s">
        <v>217</v>
      </c>
    </row>
    <row r="13" spans="1:25" s="24" customFormat="1" x14ac:dyDescent="0.3">
      <c r="A13" s="22">
        <v>8</v>
      </c>
      <c r="B13" s="23" t="s">
        <v>218</v>
      </c>
      <c r="C13" s="22">
        <v>20</v>
      </c>
      <c r="D13" s="24" t="s">
        <v>244</v>
      </c>
      <c r="E13" s="24" t="s">
        <v>115</v>
      </c>
      <c r="F13" s="24" t="s">
        <v>114</v>
      </c>
      <c r="H13" s="24" t="s">
        <v>102</v>
      </c>
      <c r="K13" s="25">
        <v>52.88</v>
      </c>
      <c r="L13" s="26"/>
      <c r="M13" s="26"/>
      <c r="N13" s="26"/>
      <c r="O13" s="26"/>
      <c r="P13" s="26"/>
      <c r="Q13" s="26"/>
      <c r="R13" s="24" t="s">
        <v>256</v>
      </c>
      <c r="S13" s="24" t="s">
        <v>131</v>
      </c>
      <c r="W13" s="23" t="s">
        <v>218</v>
      </c>
    </row>
    <row r="14" spans="1:25" s="24" customFormat="1" x14ac:dyDescent="0.3">
      <c r="A14" s="22">
        <v>9</v>
      </c>
      <c r="B14" s="23" t="s">
        <v>219</v>
      </c>
      <c r="C14" s="22">
        <v>20</v>
      </c>
      <c r="D14" s="24" t="s">
        <v>125</v>
      </c>
      <c r="E14" s="24" t="s">
        <v>116</v>
      </c>
      <c r="F14" s="24" t="s">
        <v>114</v>
      </c>
      <c r="H14" s="24" t="s">
        <v>102</v>
      </c>
      <c r="K14" s="25">
        <v>224.24</v>
      </c>
      <c r="L14" s="26"/>
      <c r="M14" s="26"/>
      <c r="N14" s="26"/>
      <c r="O14" s="26"/>
      <c r="P14" s="26"/>
      <c r="Q14" s="26"/>
      <c r="R14" s="24" t="s">
        <v>256</v>
      </c>
      <c r="S14" s="24" t="s">
        <v>131</v>
      </c>
      <c r="W14" s="23" t="s">
        <v>219</v>
      </c>
    </row>
    <row r="15" spans="1:25" s="24" customFormat="1" x14ac:dyDescent="0.3">
      <c r="A15" s="22">
        <v>10</v>
      </c>
      <c r="B15" s="23" t="s">
        <v>220</v>
      </c>
      <c r="C15" s="22">
        <v>20</v>
      </c>
      <c r="D15" s="24" t="s">
        <v>125</v>
      </c>
      <c r="E15" s="24" t="s">
        <v>115</v>
      </c>
      <c r="F15" s="24" t="s">
        <v>114</v>
      </c>
      <c r="H15" s="28" t="s">
        <v>102</v>
      </c>
      <c r="K15" s="25">
        <v>475.97</v>
      </c>
      <c r="L15" s="26"/>
      <c r="M15" s="26"/>
      <c r="N15" s="26"/>
      <c r="O15" s="26"/>
      <c r="P15" s="26"/>
      <c r="Q15" s="26"/>
      <c r="R15" s="24" t="s">
        <v>256</v>
      </c>
      <c r="S15" s="24" t="s">
        <v>131</v>
      </c>
      <c r="W15" s="23" t="s">
        <v>220</v>
      </c>
    </row>
    <row r="16" spans="1:25" s="24" customFormat="1" x14ac:dyDescent="0.3">
      <c r="A16" s="22">
        <v>11</v>
      </c>
      <c r="B16" s="23" t="s">
        <v>221</v>
      </c>
      <c r="C16" s="22">
        <v>20</v>
      </c>
      <c r="D16" s="24" t="s">
        <v>125</v>
      </c>
      <c r="E16" s="24" t="s">
        <v>120</v>
      </c>
      <c r="F16" s="24" t="s">
        <v>114</v>
      </c>
      <c r="H16" s="24" t="s">
        <v>102</v>
      </c>
      <c r="K16" s="25">
        <v>113.41</v>
      </c>
      <c r="L16" s="26"/>
      <c r="M16" s="26"/>
      <c r="N16" s="26"/>
      <c r="O16" s="26"/>
      <c r="P16" s="26"/>
      <c r="Q16" s="26"/>
      <c r="R16" s="24" t="s">
        <v>256</v>
      </c>
      <c r="S16" s="24" t="s">
        <v>131</v>
      </c>
      <c r="W16" s="23" t="s">
        <v>221</v>
      </c>
    </row>
    <row r="17" spans="1:23" s="24" customFormat="1" x14ac:dyDescent="0.3">
      <c r="A17" s="22">
        <v>12</v>
      </c>
      <c r="B17" s="23" t="s">
        <v>222</v>
      </c>
      <c r="C17" s="22">
        <v>20</v>
      </c>
      <c r="D17" s="24" t="s">
        <v>245</v>
      </c>
      <c r="E17" s="24" t="s">
        <v>116</v>
      </c>
      <c r="F17" s="24" t="s">
        <v>114</v>
      </c>
      <c r="H17" s="24" t="s">
        <v>102</v>
      </c>
      <c r="K17" s="25">
        <v>418.88</v>
      </c>
      <c r="L17" s="26"/>
      <c r="M17" s="26"/>
      <c r="N17" s="26"/>
      <c r="O17" s="26"/>
      <c r="P17" s="26"/>
      <c r="Q17" s="26"/>
      <c r="R17" s="24" t="s">
        <v>256</v>
      </c>
      <c r="S17" s="24" t="s">
        <v>131</v>
      </c>
      <c r="W17" s="23" t="s">
        <v>222</v>
      </c>
    </row>
    <row r="18" spans="1:23" s="24" customFormat="1" x14ac:dyDescent="0.3">
      <c r="A18" s="22">
        <v>13</v>
      </c>
      <c r="B18" s="23" t="s">
        <v>223</v>
      </c>
      <c r="C18" s="22">
        <v>20</v>
      </c>
      <c r="D18" s="24" t="s">
        <v>245</v>
      </c>
      <c r="E18" s="24" t="s">
        <v>115</v>
      </c>
      <c r="F18" s="24" t="s">
        <v>114</v>
      </c>
      <c r="H18" s="24" t="s">
        <v>102</v>
      </c>
      <c r="K18" s="25">
        <v>287.44</v>
      </c>
      <c r="L18" s="26"/>
      <c r="M18" s="26"/>
      <c r="N18" s="26"/>
      <c r="O18" s="26"/>
      <c r="P18" s="26"/>
      <c r="Q18" s="26"/>
      <c r="R18" s="24" t="s">
        <v>256</v>
      </c>
      <c r="S18" s="24" t="s">
        <v>131</v>
      </c>
      <c r="W18" s="23" t="s">
        <v>223</v>
      </c>
    </row>
    <row r="19" spans="1:23" s="24" customFormat="1" x14ac:dyDescent="0.3">
      <c r="A19" s="22">
        <v>14</v>
      </c>
      <c r="B19" s="23" t="s">
        <v>224</v>
      </c>
      <c r="C19" s="22">
        <v>20</v>
      </c>
      <c r="D19" s="24" t="s">
        <v>245</v>
      </c>
      <c r="E19" s="24" t="s">
        <v>119</v>
      </c>
      <c r="F19" s="24" t="s">
        <v>114</v>
      </c>
      <c r="H19" s="24" t="s">
        <v>102</v>
      </c>
      <c r="K19" s="25">
        <v>59.23</v>
      </c>
      <c r="L19" s="26"/>
      <c r="M19" s="26"/>
      <c r="N19" s="26"/>
      <c r="O19" s="26"/>
      <c r="P19" s="26"/>
      <c r="Q19" s="26"/>
      <c r="R19" s="24" t="s">
        <v>256</v>
      </c>
      <c r="S19" s="24" t="s">
        <v>131</v>
      </c>
      <c r="W19" s="23" t="s">
        <v>224</v>
      </c>
    </row>
    <row r="20" spans="1:23" s="24" customFormat="1" x14ac:dyDescent="0.3">
      <c r="A20" s="22">
        <v>15</v>
      </c>
      <c r="B20" s="23" t="s">
        <v>225</v>
      </c>
      <c r="C20" s="22">
        <v>20</v>
      </c>
      <c r="D20" s="24" t="s">
        <v>245</v>
      </c>
      <c r="E20" s="24" t="s">
        <v>121</v>
      </c>
      <c r="F20" s="24" t="s">
        <v>114</v>
      </c>
      <c r="H20" s="24" t="s">
        <v>102</v>
      </c>
      <c r="K20" s="25">
        <v>1032.83</v>
      </c>
      <c r="L20" s="26"/>
      <c r="M20" s="26"/>
      <c r="N20" s="26"/>
      <c r="O20" s="26"/>
      <c r="P20" s="26"/>
      <c r="Q20" s="26"/>
      <c r="R20" s="24" t="s">
        <v>256</v>
      </c>
      <c r="S20" s="24" t="s">
        <v>131</v>
      </c>
      <c r="W20" s="23" t="s">
        <v>225</v>
      </c>
    </row>
    <row r="21" spans="1:23" s="24" customFormat="1" x14ac:dyDescent="0.3">
      <c r="A21" s="22">
        <v>16</v>
      </c>
      <c r="B21" s="23" t="s">
        <v>226</v>
      </c>
      <c r="C21" s="22">
        <v>10</v>
      </c>
      <c r="D21" s="24" t="s">
        <v>247</v>
      </c>
      <c r="E21" s="24" t="s">
        <v>246</v>
      </c>
      <c r="F21" s="24" t="s">
        <v>114</v>
      </c>
      <c r="H21" s="24" t="s">
        <v>102</v>
      </c>
      <c r="K21" s="25">
        <v>107.34</v>
      </c>
      <c r="L21" s="26"/>
      <c r="M21" s="26"/>
      <c r="N21" s="26"/>
      <c r="O21" s="26"/>
      <c r="P21" s="26"/>
      <c r="Q21" s="26"/>
      <c r="R21" s="24" t="s">
        <v>256</v>
      </c>
      <c r="S21" s="24" t="s">
        <v>131</v>
      </c>
      <c r="W21" s="23" t="s">
        <v>226</v>
      </c>
    </row>
    <row r="22" spans="1:23" s="24" customFormat="1" x14ac:dyDescent="0.3">
      <c r="A22" s="22">
        <v>17</v>
      </c>
      <c r="B22" s="23" t="s">
        <v>227</v>
      </c>
      <c r="C22" s="22">
        <v>20</v>
      </c>
      <c r="D22" s="24" t="s">
        <v>248</v>
      </c>
      <c r="E22" s="24" t="s">
        <v>246</v>
      </c>
      <c r="F22" s="24" t="s">
        <v>114</v>
      </c>
      <c r="H22" s="24" t="s">
        <v>102</v>
      </c>
      <c r="K22" s="25">
        <v>429.28</v>
      </c>
      <c r="L22" s="26"/>
      <c r="M22" s="26"/>
      <c r="N22" s="26"/>
      <c r="O22" s="26"/>
      <c r="P22" s="26"/>
      <c r="Q22" s="26"/>
      <c r="R22" s="24" t="s">
        <v>256</v>
      </c>
      <c r="S22" s="24" t="s">
        <v>131</v>
      </c>
      <c r="W22" s="23" t="s">
        <v>227</v>
      </c>
    </row>
    <row r="23" spans="1:23" s="24" customFormat="1" x14ac:dyDescent="0.3">
      <c r="A23" s="22">
        <v>18</v>
      </c>
      <c r="B23" s="23" t="s">
        <v>228</v>
      </c>
      <c r="C23" s="22">
        <v>20</v>
      </c>
      <c r="D23" s="24" t="s">
        <v>130</v>
      </c>
      <c r="E23" s="24" t="s">
        <v>121</v>
      </c>
      <c r="F23" s="24" t="s">
        <v>114</v>
      </c>
      <c r="H23" s="24" t="s">
        <v>102</v>
      </c>
      <c r="K23" s="25">
        <v>51.61</v>
      </c>
      <c r="L23" s="26"/>
      <c r="M23" s="26"/>
      <c r="N23" s="26"/>
      <c r="O23" s="26"/>
      <c r="P23" s="26"/>
      <c r="Q23" s="26"/>
      <c r="R23" s="24" t="s">
        <v>256</v>
      </c>
      <c r="S23" s="24" t="s">
        <v>131</v>
      </c>
      <c r="W23" s="23" t="s">
        <v>228</v>
      </c>
    </row>
    <row r="24" spans="1:23" s="24" customFormat="1" x14ac:dyDescent="0.3">
      <c r="A24" s="22">
        <v>19</v>
      </c>
      <c r="B24" s="23" t="s">
        <v>229</v>
      </c>
      <c r="C24" s="22">
        <v>20</v>
      </c>
      <c r="D24" s="24" t="s">
        <v>249</v>
      </c>
      <c r="E24" s="24" t="s">
        <v>116</v>
      </c>
      <c r="F24" s="24" t="s">
        <v>114</v>
      </c>
      <c r="H24" s="24" t="s">
        <v>102</v>
      </c>
      <c r="K24" s="25">
        <v>168.18</v>
      </c>
      <c r="L24" s="26"/>
      <c r="M24" s="26"/>
      <c r="N24" s="26"/>
      <c r="O24" s="26"/>
      <c r="P24" s="26"/>
      <c r="Q24" s="26"/>
      <c r="R24" s="24" t="s">
        <v>256</v>
      </c>
      <c r="S24" s="24" t="s">
        <v>131</v>
      </c>
      <c r="W24" s="23" t="s">
        <v>229</v>
      </c>
    </row>
    <row r="25" spans="1:23" s="24" customFormat="1" x14ac:dyDescent="0.3">
      <c r="A25" s="22">
        <v>20</v>
      </c>
      <c r="B25" s="23" t="s">
        <v>230</v>
      </c>
      <c r="C25" s="22">
        <v>20</v>
      </c>
      <c r="D25" s="24" t="s">
        <v>249</v>
      </c>
      <c r="E25" s="24" t="s">
        <v>115</v>
      </c>
      <c r="F25" s="24" t="s">
        <v>114</v>
      </c>
      <c r="H25" s="24" t="s">
        <v>102</v>
      </c>
      <c r="K25" s="25">
        <v>253.8</v>
      </c>
      <c r="L25" s="26"/>
      <c r="M25" s="26"/>
      <c r="N25" s="26"/>
      <c r="O25" s="26"/>
      <c r="P25" s="26"/>
      <c r="Q25" s="26"/>
      <c r="R25" s="24" t="s">
        <v>256</v>
      </c>
      <c r="S25" s="24" t="s">
        <v>131</v>
      </c>
      <c r="W25" s="23" t="s">
        <v>230</v>
      </c>
    </row>
    <row r="26" spans="1:23" s="24" customFormat="1" x14ac:dyDescent="0.3">
      <c r="A26" s="22">
        <v>21</v>
      </c>
      <c r="B26" s="23" t="s">
        <v>231</v>
      </c>
      <c r="C26" s="22">
        <v>20</v>
      </c>
      <c r="D26" s="24" t="s">
        <v>249</v>
      </c>
      <c r="E26" s="24" t="s">
        <v>121</v>
      </c>
      <c r="F26" s="24" t="s">
        <v>114</v>
      </c>
      <c r="H26" s="24" t="s">
        <v>102</v>
      </c>
      <c r="K26" s="25">
        <v>709.67</v>
      </c>
      <c r="L26" s="26"/>
      <c r="M26" s="26"/>
      <c r="N26" s="26"/>
      <c r="O26" s="26"/>
      <c r="P26" s="26"/>
      <c r="Q26" s="26"/>
      <c r="R26" s="24" t="s">
        <v>256</v>
      </c>
      <c r="S26" s="24" t="s">
        <v>131</v>
      </c>
      <c r="W26" s="23" t="s">
        <v>231</v>
      </c>
    </row>
    <row r="27" spans="1:23" s="24" customFormat="1" x14ac:dyDescent="0.3">
      <c r="A27" s="22">
        <v>22</v>
      </c>
      <c r="B27" s="23" t="s">
        <v>232</v>
      </c>
      <c r="C27" s="22">
        <v>20</v>
      </c>
      <c r="D27" s="24" t="s">
        <v>250</v>
      </c>
      <c r="E27" s="24" t="s">
        <v>120</v>
      </c>
      <c r="F27" s="24" t="s">
        <v>114</v>
      </c>
      <c r="H27" s="24" t="s">
        <v>102</v>
      </c>
      <c r="K27" s="25">
        <v>41.42</v>
      </c>
      <c r="L27" s="26"/>
      <c r="M27" s="26"/>
      <c r="N27" s="26"/>
      <c r="O27" s="26"/>
      <c r="P27" s="26"/>
      <c r="Q27" s="26"/>
      <c r="R27" s="24" t="s">
        <v>256</v>
      </c>
      <c r="S27" s="24" t="s">
        <v>131</v>
      </c>
      <c r="W27" s="23" t="s">
        <v>232</v>
      </c>
    </row>
    <row r="28" spans="1:23" s="24" customFormat="1" x14ac:dyDescent="0.3">
      <c r="A28" s="22">
        <v>23</v>
      </c>
      <c r="B28" s="23" t="s">
        <v>233</v>
      </c>
      <c r="C28" s="22">
        <v>20</v>
      </c>
      <c r="D28" s="24" t="s">
        <v>251</v>
      </c>
      <c r="E28" s="24" t="s">
        <v>119</v>
      </c>
      <c r="F28" s="24" t="s">
        <v>114</v>
      </c>
      <c r="H28" s="24" t="s">
        <v>102</v>
      </c>
      <c r="K28" s="25">
        <v>57.12</v>
      </c>
      <c r="L28" s="26"/>
      <c r="M28" s="26"/>
      <c r="N28" s="26"/>
      <c r="O28" s="26"/>
      <c r="P28" s="26"/>
      <c r="Q28" s="26"/>
      <c r="R28" s="24" t="s">
        <v>256</v>
      </c>
      <c r="S28" s="24" t="s">
        <v>131</v>
      </c>
      <c r="W28" s="23" t="s">
        <v>233</v>
      </c>
    </row>
    <row r="29" spans="1:23" s="24" customFormat="1" x14ac:dyDescent="0.3">
      <c r="A29" s="22">
        <v>24</v>
      </c>
      <c r="B29" s="23" t="s">
        <v>234</v>
      </c>
      <c r="C29" s="22">
        <v>20</v>
      </c>
      <c r="D29" s="24" t="s">
        <v>251</v>
      </c>
      <c r="E29" s="24" t="s">
        <v>121</v>
      </c>
      <c r="F29" s="24" t="s">
        <v>114</v>
      </c>
      <c r="H29" s="24" t="s">
        <v>102</v>
      </c>
      <c r="K29" s="25">
        <v>114.24</v>
      </c>
      <c r="L29" s="26"/>
      <c r="M29" s="26"/>
      <c r="N29" s="26"/>
      <c r="O29" s="26"/>
      <c r="P29" s="26"/>
      <c r="Q29" s="26"/>
      <c r="R29" s="24" t="s">
        <v>256</v>
      </c>
      <c r="S29" s="24" t="s">
        <v>131</v>
      </c>
      <c r="W29" s="23" t="s">
        <v>234</v>
      </c>
    </row>
    <row r="30" spans="1:23" s="24" customFormat="1" x14ac:dyDescent="0.3">
      <c r="A30" s="22">
        <v>25</v>
      </c>
      <c r="B30" s="23" t="s">
        <v>235</v>
      </c>
      <c r="C30" s="22">
        <v>20</v>
      </c>
      <c r="D30" s="24" t="s">
        <v>252</v>
      </c>
      <c r="E30" s="24" t="s">
        <v>116</v>
      </c>
      <c r="F30" s="24" t="s">
        <v>114</v>
      </c>
      <c r="H30" s="24" t="s">
        <v>102</v>
      </c>
      <c r="K30" s="25">
        <v>168.16</v>
      </c>
      <c r="L30" s="26"/>
      <c r="M30" s="26"/>
      <c r="N30" s="26"/>
      <c r="O30" s="26"/>
      <c r="P30" s="26"/>
      <c r="Q30" s="26"/>
      <c r="R30" s="24" t="s">
        <v>256</v>
      </c>
      <c r="S30" s="24" t="s">
        <v>131</v>
      </c>
      <c r="W30" s="23" t="s">
        <v>235</v>
      </c>
    </row>
    <row r="31" spans="1:23" s="24" customFormat="1" x14ac:dyDescent="0.3">
      <c r="A31" s="22">
        <v>26</v>
      </c>
      <c r="B31" s="23" t="s">
        <v>236</v>
      </c>
      <c r="C31" s="22">
        <v>20</v>
      </c>
      <c r="D31" s="24" t="s">
        <v>252</v>
      </c>
      <c r="E31" s="24" t="s">
        <v>115</v>
      </c>
      <c r="F31" s="24" t="s">
        <v>114</v>
      </c>
      <c r="H31" s="24" t="s">
        <v>102</v>
      </c>
      <c r="K31" s="25">
        <v>287.45999999999998</v>
      </c>
      <c r="L31" s="26"/>
      <c r="M31" s="26"/>
      <c r="N31" s="26"/>
      <c r="O31" s="26"/>
      <c r="P31" s="26"/>
      <c r="Q31" s="26"/>
      <c r="R31" s="24" t="s">
        <v>256</v>
      </c>
      <c r="S31" s="24" t="s">
        <v>131</v>
      </c>
      <c r="W31" s="23" t="s">
        <v>236</v>
      </c>
    </row>
    <row r="32" spans="1:23" s="24" customFormat="1" x14ac:dyDescent="0.3">
      <c r="A32" s="22">
        <v>27</v>
      </c>
      <c r="B32" s="23" t="s">
        <v>237</v>
      </c>
      <c r="C32" s="22">
        <v>20</v>
      </c>
      <c r="D32" s="24" t="s">
        <v>252</v>
      </c>
      <c r="E32" s="24" t="s">
        <v>121</v>
      </c>
      <c r="F32" s="24" t="s">
        <v>114</v>
      </c>
      <c r="H32" s="24" t="s">
        <v>102</v>
      </c>
      <c r="K32" s="25">
        <v>614.11</v>
      </c>
      <c r="L32" s="26"/>
      <c r="M32" s="26"/>
      <c r="N32" s="26"/>
      <c r="O32" s="26"/>
      <c r="P32" s="26"/>
      <c r="Q32" s="26"/>
      <c r="R32" s="24" t="s">
        <v>256</v>
      </c>
      <c r="S32" s="24" t="s">
        <v>131</v>
      </c>
      <c r="W32" s="23" t="s">
        <v>237</v>
      </c>
    </row>
    <row r="33" spans="1:23" s="24" customFormat="1" x14ac:dyDescent="0.3">
      <c r="A33" s="22">
        <v>28</v>
      </c>
      <c r="B33" s="23" t="s">
        <v>238</v>
      </c>
      <c r="C33" s="22">
        <v>20</v>
      </c>
      <c r="D33" s="24" t="s">
        <v>254</v>
      </c>
      <c r="E33" s="24" t="s">
        <v>253</v>
      </c>
      <c r="F33" s="24" t="s">
        <v>114</v>
      </c>
      <c r="H33" s="24" t="s">
        <v>102</v>
      </c>
      <c r="K33" s="25">
        <v>126.94</v>
      </c>
      <c r="L33" s="26"/>
      <c r="M33" s="26"/>
      <c r="N33" s="26"/>
      <c r="O33" s="26"/>
      <c r="P33" s="26"/>
      <c r="Q33" s="26"/>
      <c r="R33" s="24" t="s">
        <v>256</v>
      </c>
      <c r="S33" s="24" t="s">
        <v>131</v>
      </c>
      <c r="W33" s="23" t="s">
        <v>238</v>
      </c>
    </row>
    <row r="34" spans="1:23" s="24" customFormat="1" x14ac:dyDescent="0.3">
      <c r="A34" s="22">
        <v>29</v>
      </c>
      <c r="B34" s="23" t="s">
        <v>239</v>
      </c>
      <c r="C34" s="22">
        <v>20</v>
      </c>
      <c r="E34" s="24" t="s">
        <v>102</v>
      </c>
      <c r="H34" s="24" t="s">
        <v>124</v>
      </c>
      <c r="K34" s="25">
        <v>432.71</v>
      </c>
      <c r="L34" s="26"/>
      <c r="M34" s="26"/>
      <c r="N34" s="26"/>
      <c r="O34" s="26"/>
      <c r="P34" s="26"/>
      <c r="Q34" s="26"/>
      <c r="R34" s="24" t="s">
        <v>256</v>
      </c>
      <c r="S34" s="24" t="s">
        <v>131</v>
      </c>
      <c r="W34" s="23" t="s">
        <v>239</v>
      </c>
    </row>
    <row r="35" spans="1:23" s="24" customFormat="1" x14ac:dyDescent="0.3">
      <c r="A35" s="22">
        <v>30</v>
      </c>
      <c r="B35" s="23" t="s">
        <v>240</v>
      </c>
      <c r="C35" s="22">
        <v>20</v>
      </c>
      <c r="E35" s="24" t="s">
        <v>102</v>
      </c>
      <c r="H35" s="24" t="s">
        <v>208</v>
      </c>
      <c r="K35" s="25">
        <v>338.45</v>
      </c>
      <c r="L35" s="26"/>
      <c r="M35" s="26"/>
      <c r="N35" s="26"/>
      <c r="O35" s="26"/>
      <c r="P35" s="26"/>
      <c r="Q35" s="26"/>
      <c r="R35" s="24" t="s">
        <v>256</v>
      </c>
      <c r="S35" s="24" t="s">
        <v>131</v>
      </c>
      <c r="W35" s="23" t="s">
        <v>240</v>
      </c>
    </row>
    <row r="36" spans="1:23" s="24" customFormat="1" x14ac:dyDescent="0.3">
      <c r="A36" s="22">
        <v>31</v>
      </c>
      <c r="B36" s="23" t="s">
        <v>241</v>
      </c>
      <c r="C36" s="22">
        <v>20</v>
      </c>
      <c r="E36" s="24" t="s">
        <v>102</v>
      </c>
      <c r="H36" s="24" t="s">
        <v>259</v>
      </c>
      <c r="K36" s="25">
        <v>-10115.32</v>
      </c>
      <c r="L36" s="26"/>
      <c r="M36" s="26"/>
      <c r="N36" s="26"/>
      <c r="O36" s="26"/>
      <c r="P36" s="26"/>
      <c r="Q36" s="26"/>
      <c r="R36" s="24" t="s">
        <v>256</v>
      </c>
      <c r="S36" s="24" t="s">
        <v>131</v>
      </c>
      <c r="W36" s="23" t="s">
        <v>241</v>
      </c>
    </row>
    <row r="37" spans="1:23" s="24" customFormat="1" x14ac:dyDescent="0.3">
      <c r="A37" s="22">
        <v>32</v>
      </c>
      <c r="B37" s="23" t="s">
        <v>213</v>
      </c>
      <c r="C37" s="22">
        <v>20</v>
      </c>
      <c r="E37" s="24" t="s">
        <v>102</v>
      </c>
      <c r="H37" s="24" t="s">
        <v>135</v>
      </c>
      <c r="K37" s="25">
        <v>10395.01</v>
      </c>
      <c r="L37" s="26"/>
      <c r="M37" s="26"/>
      <c r="N37" s="26"/>
      <c r="O37" s="26"/>
      <c r="P37" s="26"/>
      <c r="Q37" s="26"/>
      <c r="R37" s="24" t="s">
        <v>256</v>
      </c>
      <c r="S37" s="24" t="s">
        <v>131</v>
      </c>
      <c r="W37" s="23" t="s">
        <v>213</v>
      </c>
    </row>
    <row r="38" spans="1:23" s="24" customFormat="1" x14ac:dyDescent="0.3">
      <c r="A38" s="22">
        <v>33</v>
      </c>
      <c r="B38" s="23" t="s">
        <v>242</v>
      </c>
      <c r="C38" s="22">
        <v>20</v>
      </c>
      <c r="E38" s="24" t="s">
        <v>102</v>
      </c>
      <c r="H38" s="24" t="s">
        <v>258</v>
      </c>
      <c r="K38" s="25">
        <v>3306</v>
      </c>
      <c r="L38" s="26"/>
      <c r="M38" s="26"/>
      <c r="N38" s="26"/>
      <c r="O38" s="26"/>
      <c r="P38" s="26"/>
      <c r="Q38" s="26"/>
      <c r="R38" s="24" t="s">
        <v>256</v>
      </c>
      <c r="S38" s="24" t="s">
        <v>131</v>
      </c>
      <c r="W38" s="23" t="s">
        <v>242</v>
      </c>
    </row>
    <row r="39" spans="1:23" s="24" customFormat="1" x14ac:dyDescent="0.3">
      <c r="A39" s="22">
        <v>34</v>
      </c>
      <c r="B39" s="23" t="s">
        <v>214</v>
      </c>
      <c r="C39" s="22">
        <v>20</v>
      </c>
      <c r="E39" s="24" t="s">
        <v>102</v>
      </c>
      <c r="H39" s="24" t="s">
        <v>258</v>
      </c>
      <c r="K39" s="25">
        <v>14098.21</v>
      </c>
      <c r="L39" s="26"/>
      <c r="M39" s="26"/>
      <c r="N39" s="26"/>
      <c r="O39" s="26"/>
      <c r="P39" s="26"/>
      <c r="Q39" s="26"/>
      <c r="R39" s="24" t="s">
        <v>256</v>
      </c>
      <c r="S39" s="24" t="s">
        <v>131</v>
      </c>
      <c r="W39" s="23" t="s">
        <v>214</v>
      </c>
    </row>
    <row r="40" spans="1:23" s="24" customFormat="1" x14ac:dyDescent="0.3">
      <c r="A40" s="22">
        <v>35</v>
      </c>
      <c r="B40" s="23" t="s">
        <v>215</v>
      </c>
      <c r="C40" s="22">
        <v>20</v>
      </c>
      <c r="D40" s="24" t="s">
        <v>243</v>
      </c>
      <c r="E40" s="24" t="s">
        <v>116</v>
      </c>
      <c r="F40" s="24" t="s">
        <v>114</v>
      </c>
      <c r="H40" s="24" t="s">
        <v>102</v>
      </c>
      <c r="K40" s="25">
        <v>2538.48</v>
      </c>
      <c r="L40" s="26"/>
      <c r="M40" s="26"/>
      <c r="N40" s="26"/>
      <c r="O40" s="26"/>
      <c r="P40" s="26"/>
      <c r="Q40" s="26"/>
      <c r="R40" s="24" t="s">
        <v>256</v>
      </c>
      <c r="S40" s="24" t="s">
        <v>131</v>
      </c>
      <c r="W40" s="23" t="s">
        <v>215</v>
      </c>
    </row>
    <row r="41" spans="1:23" s="24" customFormat="1" x14ac:dyDescent="0.3">
      <c r="A41" s="22">
        <v>36</v>
      </c>
      <c r="B41" s="23" t="s">
        <v>216</v>
      </c>
      <c r="C41" s="22">
        <v>20</v>
      </c>
      <c r="D41" s="24" t="s">
        <v>243</v>
      </c>
      <c r="E41" s="24" t="s">
        <v>115</v>
      </c>
      <c r="F41" s="24" t="s">
        <v>114</v>
      </c>
      <c r="H41" s="24" t="s">
        <v>102</v>
      </c>
      <c r="K41" s="25">
        <v>2307.6799999999998</v>
      </c>
      <c r="L41" s="26"/>
      <c r="M41" s="26"/>
      <c r="N41" s="26"/>
      <c r="O41" s="26"/>
      <c r="P41" s="26"/>
      <c r="Q41" s="26"/>
      <c r="R41" s="24" t="s">
        <v>256</v>
      </c>
      <c r="S41" s="24" t="s">
        <v>131</v>
      </c>
      <c r="W41" s="23" t="s">
        <v>216</v>
      </c>
    </row>
    <row r="42" spans="1:23" s="24" customFormat="1" x14ac:dyDescent="0.3">
      <c r="A42" s="22">
        <v>37</v>
      </c>
      <c r="B42" s="23" t="s">
        <v>217</v>
      </c>
      <c r="C42" s="22">
        <v>20</v>
      </c>
      <c r="D42" s="24" t="s">
        <v>243</v>
      </c>
      <c r="E42" s="24" t="s">
        <v>121</v>
      </c>
      <c r="F42" s="24" t="s">
        <v>114</v>
      </c>
      <c r="H42" s="24" t="s">
        <v>102</v>
      </c>
      <c r="K42" s="25">
        <v>5468.56</v>
      </c>
      <c r="L42" s="26"/>
      <c r="M42" s="26"/>
      <c r="N42" s="26"/>
      <c r="O42" s="26"/>
      <c r="P42" s="26"/>
      <c r="Q42" s="26"/>
      <c r="R42" s="24" t="s">
        <v>256</v>
      </c>
      <c r="S42" s="24" t="s">
        <v>131</v>
      </c>
      <c r="W42" s="23" t="s">
        <v>217</v>
      </c>
    </row>
    <row r="43" spans="1:23" s="24" customFormat="1" x14ac:dyDescent="0.3">
      <c r="A43" s="22">
        <v>38</v>
      </c>
      <c r="B43" s="23" t="s">
        <v>218</v>
      </c>
      <c r="C43" s="22">
        <v>20</v>
      </c>
      <c r="D43" s="24" t="s">
        <v>244</v>
      </c>
      <c r="E43" s="24" t="s">
        <v>115</v>
      </c>
      <c r="F43" s="24" t="s">
        <v>114</v>
      </c>
      <c r="H43" s="24" t="s">
        <v>102</v>
      </c>
      <c r="K43" s="25">
        <v>480.76</v>
      </c>
      <c r="L43" s="26"/>
      <c r="M43" s="26"/>
      <c r="N43" s="26"/>
      <c r="O43" s="26"/>
      <c r="P43" s="26"/>
      <c r="Q43" s="26"/>
      <c r="R43" s="24" t="s">
        <v>256</v>
      </c>
      <c r="S43" s="24" t="s">
        <v>131</v>
      </c>
      <c r="W43" s="23" t="s">
        <v>218</v>
      </c>
    </row>
    <row r="44" spans="1:23" s="24" customFormat="1" x14ac:dyDescent="0.3">
      <c r="A44" s="22">
        <v>39</v>
      </c>
      <c r="B44" s="23" t="s">
        <v>219</v>
      </c>
      <c r="C44" s="22">
        <v>20</v>
      </c>
      <c r="D44" s="24" t="s">
        <v>125</v>
      </c>
      <c r="E44" s="24" t="s">
        <v>116</v>
      </c>
      <c r="F44" s="24" t="s">
        <v>114</v>
      </c>
      <c r="H44" s="24" t="s">
        <v>102</v>
      </c>
      <c r="K44" s="25">
        <v>2038.48</v>
      </c>
      <c r="L44" s="26"/>
      <c r="M44" s="26"/>
      <c r="N44" s="26"/>
      <c r="O44" s="26"/>
      <c r="P44" s="26"/>
      <c r="Q44" s="26"/>
      <c r="R44" s="24" t="s">
        <v>256</v>
      </c>
      <c r="S44" s="24" t="s">
        <v>131</v>
      </c>
      <c r="W44" s="23" t="s">
        <v>219</v>
      </c>
    </row>
    <row r="45" spans="1:23" s="24" customFormat="1" x14ac:dyDescent="0.3">
      <c r="A45" s="22">
        <v>40</v>
      </c>
      <c r="B45" s="23" t="s">
        <v>220</v>
      </c>
      <c r="C45" s="22">
        <v>20</v>
      </c>
      <c r="D45" s="24" t="s">
        <v>125</v>
      </c>
      <c r="E45" s="24" t="s">
        <v>115</v>
      </c>
      <c r="F45" s="24" t="s">
        <v>114</v>
      </c>
      <c r="H45" s="24" t="s">
        <v>102</v>
      </c>
      <c r="K45" s="25">
        <v>4345.3900000000003</v>
      </c>
      <c r="L45" s="26"/>
      <c r="M45" s="26"/>
      <c r="N45" s="26"/>
      <c r="O45" s="26"/>
      <c r="P45" s="26"/>
      <c r="Q45" s="26"/>
      <c r="R45" s="24" t="s">
        <v>256</v>
      </c>
      <c r="S45" s="24" t="s">
        <v>131</v>
      </c>
      <c r="W45" s="23" t="s">
        <v>220</v>
      </c>
    </row>
    <row r="46" spans="1:23" s="24" customFormat="1" x14ac:dyDescent="0.3">
      <c r="A46" s="22">
        <v>41</v>
      </c>
      <c r="B46" s="23" t="s">
        <v>221</v>
      </c>
      <c r="C46" s="22">
        <v>20</v>
      </c>
      <c r="D46" s="24" t="s">
        <v>125</v>
      </c>
      <c r="E46" s="24" t="s">
        <v>120</v>
      </c>
      <c r="F46" s="24" t="s">
        <v>114</v>
      </c>
      <c r="H46" s="24" t="s">
        <v>102</v>
      </c>
      <c r="K46" s="25">
        <v>1031</v>
      </c>
      <c r="L46" s="26"/>
      <c r="M46" s="26"/>
      <c r="N46" s="26"/>
      <c r="O46" s="26"/>
      <c r="P46" s="26"/>
      <c r="Q46" s="26"/>
      <c r="R46" s="24" t="s">
        <v>256</v>
      </c>
      <c r="S46" s="24" t="s">
        <v>131</v>
      </c>
      <c r="W46" s="23" t="s">
        <v>221</v>
      </c>
    </row>
    <row r="47" spans="1:23" s="24" customFormat="1" x14ac:dyDescent="0.3">
      <c r="A47" s="22">
        <v>42</v>
      </c>
      <c r="B47" s="23" t="s">
        <v>222</v>
      </c>
      <c r="C47" s="22">
        <v>20</v>
      </c>
      <c r="D47" s="24" t="s">
        <v>245</v>
      </c>
      <c r="E47" s="24" t="s">
        <v>116</v>
      </c>
      <c r="F47" s="24" t="s">
        <v>114</v>
      </c>
      <c r="H47" s="24" t="s">
        <v>102</v>
      </c>
      <c r="K47" s="25">
        <v>4210.75</v>
      </c>
      <c r="L47" s="26"/>
      <c r="M47" s="26"/>
      <c r="N47" s="26"/>
      <c r="O47" s="26"/>
      <c r="P47" s="26"/>
      <c r="Q47" s="26"/>
      <c r="R47" s="24" t="s">
        <v>256</v>
      </c>
      <c r="S47" s="24" t="s">
        <v>131</v>
      </c>
      <c r="W47" s="23" t="s">
        <v>222</v>
      </c>
    </row>
    <row r="48" spans="1:23" s="24" customFormat="1" x14ac:dyDescent="0.3">
      <c r="A48" s="22">
        <v>43</v>
      </c>
      <c r="B48" s="23" t="s">
        <v>223</v>
      </c>
      <c r="C48" s="22">
        <v>20</v>
      </c>
      <c r="D48" s="24" t="s">
        <v>245</v>
      </c>
      <c r="E48" s="24" t="s">
        <v>115</v>
      </c>
      <c r="F48" s="24" t="s">
        <v>114</v>
      </c>
      <c r="H48" s="24" t="s">
        <v>102</v>
      </c>
      <c r="K48" s="25">
        <v>2613.16</v>
      </c>
      <c r="L48" s="26"/>
      <c r="M48" s="26"/>
      <c r="N48" s="26"/>
      <c r="O48" s="26"/>
      <c r="P48" s="26"/>
      <c r="Q48" s="26"/>
      <c r="R48" s="24" t="s">
        <v>256</v>
      </c>
      <c r="S48" s="24" t="s">
        <v>131</v>
      </c>
      <c r="W48" s="23" t="s">
        <v>223</v>
      </c>
    </row>
    <row r="49" spans="1:23" s="24" customFormat="1" x14ac:dyDescent="0.3">
      <c r="A49" s="22">
        <v>44</v>
      </c>
      <c r="B49" s="23" t="s">
        <v>224</v>
      </c>
      <c r="C49" s="22">
        <v>20</v>
      </c>
      <c r="D49" s="24" t="s">
        <v>245</v>
      </c>
      <c r="E49" s="24" t="s">
        <v>119</v>
      </c>
      <c r="F49" s="24" t="s">
        <v>114</v>
      </c>
      <c r="H49" s="24" t="s">
        <v>102</v>
      </c>
      <c r="K49" s="25">
        <v>538.46</v>
      </c>
      <c r="L49" s="26"/>
      <c r="M49" s="26"/>
      <c r="N49" s="26"/>
      <c r="O49" s="26"/>
      <c r="P49" s="26"/>
      <c r="Q49" s="26"/>
      <c r="R49" s="24" t="s">
        <v>256</v>
      </c>
      <c r="S49" s="24" t="s">
        <v>131</v>
      </c>
      <c r="W49" s="23" t="s">
        <v>224</v>
      </c>
    </row>
    <row r="50" spans="1:23" s="24" customFormat="1" x14ac:dyDescent="0.3">
      <c r="A50" s="22">
        <v>45</v>
      </c>
      <c r="B50" s="23" t="s">
        <v>225</v>
      </c>
      <c r="C50" s="22">
        <v>20</v>
      </c>
      <c r="D50" s="24" t="s">
        <v>245</v>
      </c>
      <c r="E50" s="24" t="s">
        <v>121</v>
      </c>
      <c r="F50" s="24" t="s">
        <v>114</v>
      </c>
      <c r="H50" s="24" t="s">
        <v>102</v>
      </c>
      <c r="K50" s="25">
        <v>9964.81</v>
      </c>
      <c r="L50" s="26"/>
      <c r="M50" s="26"/>
      <c r="N50" s="26"/>
      <c r="O50" s="26"/>
      <c r="P50" s="26"/>
      <c r="Q50" s="26"/>
      <c r="R50" s="24" t="s">
        <v>256</v>
      </c>
      <c r="S50" s="24" t="s">
        <v>131</v>
      </c>
      <c r="W50" s="23" t="s">
        <v>225</v>
      </c>
    </row>
    <row r="51" spans="1:23" s="24" customFormat="1" x14ac:dyDescent="0.3">
      <c r="A51" s="22">
        <v>46</v>
      </c>
      <c r="B51" s="23" t="s">
        <v>226</v>
      </c>
      <c r="C51" s="22">
        <v>10</v>
      </c>
      <c r="D51" s="24" t="s">
        <v>247</v>
      </c>
      <c r="E51" s="24" t="s">
        <v>246</v>
      </c>
      <c r="F51" s="24" t="s">
        <v>114</v>
      </c>
      <c r="H51" s="24" t="s">
        <v>102</v>
      </c>
      <c r="K51" s="25">
        <v>975.68</v>
      </c>
      <c r="L51" s="26"/>
      <c r="M51" s="26"/>
      <c r="N51" s="26"/>
      <c r="O51" s="26"/>
      <c r="P51" s="26"/>
      <c r="Q51" s="26"/>
      <c r="R51" s="24" t="s">
        <v>256</v>
      </c>
      <c r="S51" s="24" t="s">
        <v>131</v>
      </c>
      <c r="W51" s="23" t="s">
        <v>226</v>
      </c>
    </row>
    <row r="52" spans="1:23" s="24" customFormat="1" x14ac:dyDescent="0.3">
      <c r="A52" s="22">
        <v>47</v>
      </c>
      <c r="B52" s="23" t="s">
        <v>227</v>
      </c>
      <c r="C52" s="22">
        <v>20</v>
      </c>
      <c r="D52" s="24" t="s">
        <v>248</v>
      </c>
      <c r="E52" s="24" t="s">
        <v>246</v>
      </c>
      <c r="F52" s="24" t="s">
        <v>114</v>
      </c>
      <c r="H52" s="24" t="s">
        <v>102</v>
      </c>
      <c r="K52" s="25">
        <v>3921.1</v>
      </c>
      <c r="L52" s="26"/>
      <c r="M52" s="26"/>
      <c r="N52" s="26"/>
      <c r="O52" s="26"/>
      <c r="P52" s="26"/>
      <c r="Q52" s="26"/>
      <c r="R52" s="24" t="s">
        <v>256</v>
      </c>
      <c r="S52" s="24" t="s">
        <v>131</v>
      </c>
      <c r="W52" s="23" t="s">
        <v>227</v>
      </c>
    </row>
    <row r="53" spans="1:23" s="24" customFormat="1" x14ac:dyDescent="0.3">
      <c r="A53" s="22">
        <v>48</v>
      </c>
      <c r="B53" s="23" t="s">
        <v>228</v>
      </c>
      <c r="C53" s="22">
        <v>20</v>
      </c>
      <c r="D53" s="24" t="s">
        <v>130</v>
      </c>
      <c r="E53" s="24" t="s">
        <v>121</v>
      </c>
      <c r="F53" s="24" t="s">
        <v>114</v>
      </c>
      <c r="H53" s="24" t="s">
        <v>102</v>
      </c>
      <c r="K53" s="25">
        <v>469.18</v>
      </c>
      <c r="L53" s="26"/>
      <c r="M53" s="26"/>
      <c r="N53" s="26"/>
      <c r="O53" s="26"/>
      <c r="P53" s="26"/>
      <c r="Q53" s="26"/>
      <c r="R53" s="24" t="s">
        <v>256</v>
      </c>
      <c r="S53" s="24" t="s">
        <v>131</v>
      </c>
      <c r="W53" s="23" t="s">
        <v>228</v>
      </c>
    </row>
    <row r="54" spans="1:23" s="24" customFormat="1" x14ac:dyDescent="0.3">
      <c r="A54" s="22">
        <v>49</v>
      </c>
      <c r="B54" s="23" t="s">
        <v>229</v>
      </c>
      <c r="C54" s="22">
        <v>20</v>
      </c>
      <c r="D54" s="24" t="s">
        <v>249</v>
      </c>
      <c r="E54" s="24" t="s">
        <v>116</v>
      </c>
      <c r="F54" s="24" t="s">
        <v>114</v>
      </c>
      <c r="H54" s="24" t="s">
        <v>102</v>
      </c>
      <c r="K54" s="25">
        <v>1547.32</v>
      </c>
      <c r="L54" s="26"/>
      <c r="M54" s="26"/>
      <c r="N54" s="26"/>
      <c r="O54" s="26"/>
      <c r="P54" s="26"/>
      <c r="Q54" s="26"/>
      <c r="R54" s="24" t="s">
        <v>256</v>
      </c>
      <c r="S54" s="24" t="s">
        <v>131</v>
      </c>
      <c r="W54" s="23" t="s">
        <v>229</v>
      </c>
    </row>
    <row r="55" spans="1:23" s="24" customFormat="1" x14ac:dyDescent="0.3">
      <c r="A55" s="22">
        <v>50</v>
      </c>
      <c r="B55" s="23" t="s">
        <v>230</v>
      </c>
      <c r="C55" s="22">
        <v>20</v>
      </c>
      <c r="D55" s="24" t="s">
        <v>249</v>
      </c>
      <c r="E55" s="24" t="s">
        <v>115</v>
      </c>
      <c r="F55" s="24" t="s">
        <v>114</v>
      </c>
      <c r="H55" s="28" t="s">
        <v>102</v>
      </c>
      <c r="K55" s="25">
        <v>2710.78</v>
      </c>
      <c r="L55" s="26"/>
      <c r="M55" s="26"/>
      <c r="N55" s="26"/>
      <c r="O55" s="26"/>
      <c r="P55" s="26"/>
      <c r="Q55" s="26"/>
      <c r="R55" s="24" t="s">
        <v>256</v>
      </c>
      <c r="S55" s="24" t="s">
        <v>131</v>
      </c>
      <c r="W55" s="23" t="s">
        <v>230</v>
      </c>
    </row>
    <row r="56" spans="1:23" s="24" customFormat="1" x14ac:dyDescent="0.3">
      <c r="A56" s="22">
        <v>51</v>
      </c>
      <c r="B56" s="23" t="s">
        <v>231</v>
      </c>
      <c r="C56" s="22">
        <v>20</v>
      </c>
      <c r="D56" s="24" t="s">
        <v>249</v>
      </c>
      <c r="E56" s="24" t="s">
        <v>121</v>
      </c>
      <c r="F56" s="24" t="s">
        <v>114</v>
      </c>
      <c r="H56" s="24" t="s">
        <v>102</v>
      </c>
      <c r="K56" s="25">
        <v>7026.89</v>
      </c>
      <c r="L56" s="26"/>
      <c r="M56" s="26"/>
      <c r="N56" s="26"/>
      <c r="O56" s="26"/>
      <c r="P56" s="26"/>
      <c r="Q56" s="26"/>
      <c r="R56" s="24" t="s">
        <v>256</v>
      </c>
      <c r="S56" s="24" t="s">
        <v>131</v>
      </c>
      <c r="W56" s="23" t="s">
        <v>231</v>
      </c>
    </row>
    <row r="57" spans="1:23" s="24" customFormat="1" x14ac:dyDescent="0.3">
      <c r="A57" s="22">
        <v>52</v>
      </c>
      <c r="B57" s="23" t="s">
        <v>232</v>
      </c>
      <c r="C57" s="22">
        <v>20</v>
      </c>
      <c r="D57" s="24" t="s">
        <v>250</v>
      </c>
      <c r="E57" s="24" t="s">
        <v>120</v>
      </c>
      <c r="F57" s="24" t="s">
        <v>114</v>
      </c>
      <c r="H57" s="24" t="s">
        <v>102</v>
      </c>
      <c r="K57" s="25">
        <v>376.58</v>
      </c>
      <c r="L57" s="26"/>
      <c r="M57" s="26"/>
      <c r="N57" s="26"/>
      <c r="O57" s="26"/>
      <c r="P57" s="26"/>
      <c r="Q57" s="26"/>
      <c r="R57" s="24" t="s">
        <v>256</v>
      </c>
      <c r="S57" s="24" t="s">
        <v>131</v>
      </c>
      <c r="W57" s="23" t="s">
        <v>232</v>
      </c>
    </row>
    <row r="58" spans="1:23" s="24" customFormat="1" x14ac:dyDescent="0.3">
      <c r="A58" s="22">
        <v>53</v>
      </c>
      <c r="B58" s="23" t="s">
        <v>233</v>
      </c>
      <c r="C58" s="22">
        <v>20</v>
      </c>
      <c r="D58" s="24" t="s">
        <v>251</v>
      </c>
      <c r="E58" s="24" t="s">
        <v>119</v>
      </c>
      <c r="F58" s="24" t="s">
        <v>114</v>
      </c>
      <c r="H58" s="28" t="s">
        <v>102</v>
      </c>
      <c r="K58" s="25">
        <v>519.23</v>
      </c>
      <c r="L58" s="26"/>
      <c r="M58" s="26"/>
      <c r="N58" s="26"/>
      <c r="O58" s="26"/>
      <c r="P58" s="26"/>
      <c r="Q58" s="26"/>
      <c r="R58" s="24" t="s">
        <v>256</v>
      </c>
      <c r="S58" s="24" t="s">
        <v>131</v>
      </c>
      <c r="W58" s="23" t="s">
        <v>233</v>
      </c>
    </row>
    <row r="59" spans="1:23" s="24" customFormat="1" x14ac:dyDescent="0.3">
      <c r="A59" s="22">
        <v>54</v>
      </c>
      <c r="B59" s="23" t="s">
        <v>234</v>
      </c>
      <c r="C59" s="22">
        <v>20</v>
      </c>
      <c r="D59" s="24" t="s">
        <v>251</v>
      </c>
      <c r="E59" s="24" t="s">
        <v>121</v>
      </c>
      <c r="F59" s="24" t="s">
        <v>114</v>
      </c>
      <c r="H59" s="24" t="s">
        <v>102</v>
      </c>
      <c r="K59" s="25">
        <v>1038.46</v>
      </c>
      <c r="L59" s="26"/>
      <c r="M59" s="26"/>
      <c r="N59" s="26"/>
      <c r="O59" s="26"/>
      <c r="P59" s="26"/>
      <c r="Q59" s="26"/>
      <c r="R59" s="24" t="s">
        <v>256</v>
      </c>
      <c r="S59" s="24" t="s">
        <v>131</v>
      </c>
      <c r="W59" s="23" t="s">
        <v>234</v>
      </c>
    </row>
    <row r="60" spans="1:23" s="24" customFormat="1" x14ac:dyDescent="0.3">
      <c r="A60" s="22">
        <v>55</v>
      </c>
      <c r="B60" s="23" t="s">
        <v>235</v>
      </c>
      <c r="C60" s="22">
        <v>20</v>
      </c>
      <c r="D60" s="24" t="s">
        <v>252</v>
      </c>
      <c r="E60" s="24" t="s">
        <v>116</v>
      </c>
      <c r="F60" s="24" t="s">
        <v>114</v>
      </c>
      <c r="H60" s="24" t="s">
        <v>102</v>
      </c>
      <c r="K60" s="25">
        <v>1528.83</v>
      </c>
      <c r="L60" s="26"/>
      <c r="M60" s="26"/>
      <c r="N60" s="26"/>
      <c r="O60" s="26"/>
      <c r="P60" s="26"/>
      <c r="Q60" s="26"/>
      <c r="R60" s="24" t="s">
        <v>256</v>
      </c>
      <c r="S60" s="24" t="s">
        <v>131</v>
      </c>
      <c r="W60" s="23" t="s">
        <v>235</v>
      </c>
    </row>
    <row r="61" spans="1:23" s="24" customFormat="1" x14ac:dyDescent="0.3">
      <c r="A61" s="22">
        <v>56</v>
      </c>
      <c r="B61" s="23" t="s">
        <v>236</v>
      </c>
      <c r="C61" s="22">
        <v>20</v>
      </c>
      <c r="D61" s="24" t="s">
        <v>252</v>
      </c>
      <c r="E61" s="24" t="s">
        <v>115</v>
      </c>
      <c r="F61" s="24" t="s">
        <v>114</v>
      </c>
      <c r="H61" s="24" t="s">
        <v>102</v>
      </c>
      <c r="K61" s="25">
        <v>2631.65</v>
      </c>
      <c r="L61" s="26"/>
      <c r="M61" s="26"/>
      <c r="N61" s="26"/>
      <c r="O61" s="26"/>
      <c r="P61" s="26"/>
      <c r="Q61" s="26"/>
      <c r="R61" s="24" t="s">
        <v>256</v>
      </c>
      <c r="S61" s="24" t="s">
        <v>131</v>
      </c>
      <c r="W61" s="23" t="s">
        <v>236</v>
      </c>
    </row>
    <row r="62" spans="1:23" s="24" customFormat="1" x14ac:dyDescent="0.3">
      <c r="A62" s="22">
        <v>57</v>
      </c>
      <c r="B62" s="23" t="s">
        <v>237</v>
      </c>
      <c r="C62" s="22">
        <v>20</v>
      </c>
      <c r="D62" s="24" t="s">
        <v>252</v>
      </c>
      <c r="E62" s="24" t="s">
        <v>121</v>
      </c>
      <c r="F62" s="24" t="s">
        <v>114</v>
      </c>
      <c r="H62" s="24" t="s">
        <v>102</v>
      </c>
      <c r="K62" s="25">
        <v>5870.51</v>
      </c>
      <c r="L62" s="26"/>
      <c r="M62" s="26"/>
      <c r="N62" s="26"/>
      <c r="O62" s="26"/>
      <c r="P62" s="26"/>
      <c r="Q62" s="26"/>
      <c r="R62" s="24" t="s">
        <v>256</v>
      </c>
      <c r="S62" s="24" t="s">
        <v>131</v>
      </c>
      <c r="W62" s="23" t="s">
        <v>237</v>
      </c>
    </row>
    <row r="63" spans="1:23" s="24" customFormat="1" x14ac:dyDescent="0.3">
      <c r="A63" s="22">
        <v>58</v>
      </c>
      <c r="B63" s="23" t="s">
        <v>238</v>
      </c>
      <c r="C63" s="22">
        <v>20</v>
      </c>
      <c r="D63" s="24" t="s">
        <v>254</v>
      </c>
      <c r="E63" s="24" t="s">
        <v>253</v>
      </c>
      <c r="F63" s="24" t="s">
        <v>114</v>
      </c>
      <c r="H63" s="24" t="s">
        <v>102</v>
      </c>
      <c r="K63" s="25">
        <v>1153.8399999999999</v>
      </c>
      <c r="L63" s="26"/>
      <c r="M63" s="26"/>
      <c r="N63" s="26"/>
      <c r="O63" s="26"/>
      <c r="P63" s="26"/>
      <c r="Q63" s="26"/>
      <c r="R63" s="24" t="s">
        <v>256</v>
      </c>
      <c r="S63" s="24" t="s">
        <v>131</v>
      </c>
      <c r="W63" s="23" t="s">
        <v>238</v>
      </c>
    </row>
    <row r="64" spans="1:23" s="24" customFormat="1" x14ac:dyDescent="0.3">
      <c r="A64" s="22">
        <v>59</v>
      </c>
      <c r="B64" s="23" t="s">
        <v>239</v>
      </c>
      <c r="C64" s="22">
        <v>20</v>
      </c>
      <c r="E64" s="24" t="s">
        <v>102</v>
      </c>
      <c r="H64" s="24" t="s">
        <v>124</v>
      </c>
      <c r="K64" s="25">
        <v>3952.05</v>
      </c>
      <c r="L64" s="26"/>
      <c r="M64" s="26"/>
      <c r="N64" s="26"/>
      <c r="O64" s="26"/>
      <c r="P64" s="26"/>
      <c r="Q64" s="26"/>
      <c r="R64" s="24" t="s">
        <v>256</v>
      </c>
      <c r="S64" s="24" t="s">
        <v>131</v>
      </c>
      <c r="W64" s="23" t="s">
        <v>239</v>
      </c>
    </row>
    <row r="65" spans="1:23" s="24" customFormat="1" x14ac:dyDescent="0.3">
      <c r="A65" s="22">
        <v>60</v>
      </c>
      <c r="B65" s="23" t="s">
        <v>240</v>
      </c>
      <c r="C65" s="22">
        <v>20</v>
      </c>
      <c r="E65" s="24" t="s">
        <v>102</v>
      </c>
      <c r="H65" s="24" t="s">
        <v>208</v>
      </c>
      <c r="K65" s="25">
        <v>3104.53</v>
      </c>
      <c r="L65" s="26"/>
      <c r="M65" s="26"/>
      <c r="N65" s="26"/>
      <c r="O65" s="26"/>
      <c r="P65" s="26"/>
      <c r="Q65" s="26"/>
      <c r="R65" s="24" t="s">
        <v>256</v>
      </c>
      <c r="S65" s="24" t="s">
        <v>131</v>
      </c>
      <c r="W65" s="23" t="s">
        <v>240</v>
      </c>
    </row>
    <row r="66" spans="1:23" s="24" customFormat="1" x14ac:dyDescent="0.3">
      <c r="A66" s="22">
        <v>61</v>
      </c>
      <c r="B66" s="23" t="s">
        <v>241</v>
      </c>
      <c r="C66" s="22">
        <v>20</v>
      </c>
      <c r="E66" s="24" t="s">
        <v>102</v>
      </c>
      <c r="H66" s="24" t="s">
        <v>259</v>
      </c>
      <c r="K66" s="25">
        <v>-545.37</v>
      </c>
      <c r="L66" s="26"/>
      <c r="M66" s="26"/>
      <c r="N66" s="26"/>
      <c r="O66" s="26"/>
      <c r="P66" s="26"/>
      <c r="Q66" s="26"/>
      <c r="R66" s="24" t="s">
        <v>256</v>
      </c>
      <c r="S66" s="24" t="s">
        <v>131</v>
      </c>
      <c r="W66" s="23" t="s">
        <v>241</v>
      </c>
    </row>
    <row r="67" spans="1:23" s="24" customFormat="1" x14ac:dyDescent="0.3">
      <c r="A67" s="22"/>
      <c r="B67" s="23"/>
      <c r="C67" s="22"/>
      <c r="K67" s="25"/>
      <c r="L67" s="26"/>
      <c r="M67" s="26"/>
      <c r="N67" s="26"/>
      <c r="O67" s="26"/>
      <c r="P67" s="26"/>
      <c r="Q67" s="26"/>
      <c r="W67" s="23"/>
    </row>
    <row r="68" spans="1:23" s="24" customFormat="1" x14ac:dyDescent="0.3">
      <c r="A68" s="22"/>
      <c r="B68" s="23"/>
      <c r="C68" s="22"/>
      <c r="K68" s="25"/>
      <c r="L68" s="26"/>
      <c r="M68" s="26"/>
      <c r="N68" s="26"/>
      <c r="O68" s="26"/>
      <c r="P68" s="26"/>
      <c r="Q68" s="26"/>
      <c r="W68" s="23"/>
    </row>
    <row r="69" spans="1:23" s="24" customFormat="1" x14ac:dyDescent="0.3">
      <c r="A69" s="22"/>
      <c r="B69" s="23"/>
      <c r="C69" s="22"/>
      <c r="K69" s="25"/>
      <c r="L69" s="26"/>
      <c r="M69" s="26"/>
      <c r="N69" s="26"/>
      <c r="O69" s="26"/>
      <c r="P69" s="26"/>
      <c r="Q69" s="26"/>
      <c r="W69" s="23"/>
    </row>
    <row r="70" spans="1:23" s="24" customFormat="1" x14ac:dyDescent="0.3">
      <c r="A70" s="22"/>
      <c r="B70" s="23"/>
      <c r="C70" s="22"/>
      <c r="K70" s="25"/>
      <c r="L70" s="26"/>
      <c r="M70" s="26"/>
      <c r="N70" s="26"/>
      <c r="O70" s="26"/>
      <c r="P70" s="26"/>
      <c r="Q70" s="26"/>
      <c r="W70" s="23"/>
    </row>
    <row r="71" spans="1:23" s="24" customFormat="1" x14ac:dyDescent="0.3">
      <c r="A71" s="22"/>
      <c r="B71" s="23"/>
      <c r="C71" s="22"/>
      <c r="K71" s="25"/>
      <c r="L71" s="26"/>
      <c r="M71" s="26"/>
      <c r="N71" s="26"/>
      <c r="O71" s="26"/>
      <c r="P71" s="26"/>
      <c r="Q71" s="26"/>
      <c r="W71" s="23"/>
    </row>
    <row r="72" spans="1:23" s="24" customFormat="1" x14ac:dyDescent="0.3">
      <c r="A72" s="22"/>
      <c r="B72" s="23"/>
      <c r="C72" s="22"/>
      <c r="K72" s="25"/>
      <c r="L72" s="26"/>
      <c r="M72" s="26"/>
      <c r="N72" s="26"/>
      <c r="O72" s="26"/>
      <c r="P72" s="26"/>
      <c r="Q72" s="26"/>
      <c r="W72" s="23"/>
    </row>
    <row r="73" spans="1:23" s="24" customFormat="1" x14ac:dyDescent="0.3">
      <c r="A73" s="22"/>
      <c r="B73" s="23"/>
      <c r="C73" s="22"/>
      <c r="K73" s="25"/>
      <c r="L73" s="26"/>
      <c r="M73" s="26"/>
      <c r="N73" s="26"/>
      <c r="O73" s="26"/>
      <c r="P73" s="26"/>
      <c r="Q73" s="26"/>
      <c r="W73" s="23"/>
    </row>
    <row r="74" spans="1:23" s="24" customFormat="1" x14ac:dyDescent="0.3">
      <c r="A74" s="22"/>
      <c r="B74" s="23"/>
      <c r="C74" s="22"/>
      <c r="K74" s="25"/>
      <c r="L74" s="26"/>
      <c r="M74" s="26"/>
      <c r="N74" s="26"/>
      <c r="O74" s="26"/>
      <c r="P74" s="26"/>
      <c r="Q74" s="26"/>
      <c r="W74" s="23"/>
    </row>
    <row r="75" spans="1:23" s="24" customFormat="1" x14ac:dyDescent="0.3">
      <c r="A75" s="22"/>
      <c r="B75" s="23"/>
      <c r="C75" s="22"/>
      <c r="K75" s="25"/>
      <c r="L75" s="26"/>
      <c r="M75" s="26"/>
      <c r="N75" s="26"/>
      <c r="O75" s="26"/>
      <c r="P75" s="26"/>
      <c r="Q75" s="26"/>
      <c r="W75" s="23"/>
    </row>
    <row r="76" spans="1:23" s="24" customFormat="1" x14ac:dyDescent="0.3">
      <c r="A76" s="22"/>
      <c r="B76" s="23"/>
      <c r="C76" s="22"/>
      <c r="K76" s="25"/>
      <c r="L76" s="26"/>
      <c r="M76" s="26"/>
      <c r="N76" s="26"/>
      <c r="O76" s="26"/>
      <c r="P76" s="26"/>
      <c r="Q76" s="26"/>
      <c r="W76" s="23"/>
    </row>
    <row r="77" spans="1:23" s="24" customFormat="1" x14ac:dyDescent="0.3">
      <c r="A77" s="22"/>
      <c r="B77" s="23"/>
      <c r="C77" s="22"/>
      <c r="K77" s="25"/>
      <c r="L77" s="26"/>
      <c r="M77" s="26"/>
      <c r="N77" s="26"/>
      <c r="O77" s="26"/>
      <c r="P77" s="26"/>
      <c r="Q77" s="26"/>
      <c r="W77" s="23"/>
    </row>
    <row r="78" spans="1:23" s="24" customFormat="1" x14ac:dyDescent="0.3">
      <c r="A78" s="22"/>
      <c r="B78" s="23"/>
      <c r="C78" s="22"/>
      <c r="K78" s="25"/>
      <c r="L78" s="26"/>
      <c r="M78" s="26"/>
      <c r="N78" s="26"/>
      <c r="O78" s="26"/>
      <c r="P78" s="26"/>
      <c r="Q78" s="26"/>
      <c r="W78" s="23"/>
    </row>
    <row r="79" spans="1:23" s="24" customFormat="1" x14ac:dyDescent="0.3">
      <c r="A79" s="22"/>
      <c r="B79" s="23"/>
      <c r="C79" s="22"/>
      <c r="K79" s="25"/>
      <c r="L79" s="26"/>
      <c r="M79" s="26"/>
      <c r="N79" s="26"/>
      <c r="O79" s="26"/>
      <c r="P79" s="26"/>
      <c r="Q79" s="26"/>
      <c r="W79" s="23"/>
    </row>
    <row r="80" spans="1:23" s="24" customFormat="1" x14ac:dyDescent="0.3">
      <c r="A80" s="22"/>
      <c r="B80" s="23"/>
      <c r="C80" s="22"/>
      <c r="K80" s="25"/>
      <c r="L80" s="26"/>
      <c r="M80" s="26"/>
      <c r="N80" s="26"/>
      <c r="O80" s="26"/>
      <c r="P80" s="26"/>
      <c r="Q80" s="26"/>
      <c r="W80" s="23"/>
    </row>
    <row r="81" spans="1:23" s="24" customFormat="1" x14ac:dyDescent="0.3">
      <c r="A81" s="22"/>
      <c r="B81" s="23"/>
      <c r="C81" s="22"/>
      <c r="K81" s="25"/>
      <c r="L81" s="26"/>
      <c r="M81" s="26"/>
      <c r="N81" s="26"/>
      <c r="O81" s="26"/>
      <c r="P81" s="26"/>
      <c r="Q81" s="26"/>
      <c r="W81" s="23"/>
    </row>
    <row r="82" spans="1:23" s="24" customFormat="1" x14ac:dyDescent="0.3">
      <c r="A82" s="22"/>
      <c r="B82" s="23"/>
      <c r="C82" s="22"/>
      <c r="K82" s="25"/>
      <c r="L82" s="26"/>
      <c r="M82" s="26"/>
      <c r="N82" s="26"/>
      <c r="O82" s="26"/>
      <c r="P82" s="26"/>
      <c r="Q82" s="26"/>
      <c r="W82" s="23"/>
    </row>
    <row r="83" spans="1:23" s="24" customFormat="1" x14ac:dyDescent="0.3">
      <c r="A83" s="22"/>
      <c r="B83" s="23"/>
      <c r="C83" s="22"/>
      <c r="K83" s="25"/>
      <c r="L83" s="26"/>
      <c r="M83" s="26"/>
      <c r="N83" s="26"/>
      <c r="O83" s="26"/>
      <c r="P83" s="26"/>
      <c r="Q83" s="26"/>
      <c r="W83" s="23"/>
    </row>
    <row r="84" spans="1:23" s="24" customFormat="1" x14ac:dyDescent="0.3">
      <c r="A84" s="22"/>
      <c r="B84" s="23"/>
      <c r="C84" s="22"/>
      <c r="K84" s="25"/>
      <c r="L84" s="26"/>
      <c r="M84" s="26"/>
      <c r="N84" s="26"/>
      <c r="O84" s="26"/>
      <c r="P84" s="26"/>
      <c r="Q84" s="26"/>
      <c r="W84" s="23"/>
    </row>
    <row r="85" spans="1:23" s="24" customFormat="1" x14ac:dyDescent="0.3">
      <c r="A85" s="22"/>
      <c r="B85" s="23"/>
      <c r="C85" s="22"/>
      <c r="K85" s="25"/>
      <c r="L85" s="26"/>
      <c r="M85" s="26"/>
      <c r="N85" s="26"/>
      <c r="O85" s="26"/>
      <c r="P85" s="26"/>
      <c r="Q85" s="26"/>
      <c r="W85" s="23"/>
    </row>
    <row r="86" spans="1:23" s="24" customFormat="1" x14ac:dyDescent="0.3">
      <c r="A86" s="22"/>
      <c r="B86" s="23"/>
      <c r="C86" s="22"/>
      <c r="K86" s="25"/>
      <c r="L86" s="26"/>
      <c r="M86" s="26"/>
      <c r="N86" s="26"/>
      <c r="O86" s="26"/>
      <c r="P86" s="26"/>
      <c r="Q86" s="26"/>
      <c r="W86" s="23"/>
    </row>
    <row r="87" spans="1:23" s="24" customFormat="1" x14ac:dyDescent="0.3">
      <c r="A87" s="22"/>
      <c r="B87" s="23"/>
      <c r="C87" s="22"/>
      <c r="K87" s="25"/>
      <c r="L87" s="26"/>
      <c r="M87" s="26"/>
      <c r="N87" s="26"/>
      <c r="O87" s="26"/>
      <c r="P87" s="26"/>
      <c r="Q87" s="26"/>
      <c r="W87" s="23"/>
    </row>
    <row r="88" spans="1:23" s="24" customFormat="1" x14ac:dyDescent="0.3">
      <c r="A88" s="22"/>
      <c r="B88" s="23"/>
      <c r="C88" s="22"/>
      <c r="K88" s="25"/>
      <c r="L88" s="26"/>
      <c r="M88" s="26"/>
      <c r="N88" s="26"/>
      <c r="O88" s="26"/>
      <c r="P88" s="26"/>
      <c r="Q88" s="26"/>
      <c r="W88" s="23"/>
    </row>
    <row r="89" spans="1:23" s="24" customFormat="1" x14ac:dyDescent="0.3">
      <c r="A89" s="22"/>
      <c r="B89" s="23"/>
      <c r="C89" s="22"/>
      <c r="K89" s="25"/>
      <c r="L89" s="26"/>
      <c r="M89" s="26"/>
      <c r="N89" s="26"/>
      <c r="O89" s="26"/>
      <c r="P89" s="26"/>
      <c r="Q89" s="26"/>
      <c r="W89" s="23"/>
    </row>
    <row r="90" spans="1:23" s="24" customFormat="1" x14ac:dyDescent="0.3">
      <c r="A90" s="22"/>
      <c r="B90" s="23"/>
      <c r="C90" s="22"/>
      <c r="K90" s="25"/>
      <c r="L90" s="26"/>
      <c r="M90" s="26"/>
      <c r="N90" s="26"/>
      <c r="O90" s="26"/>
      <c r="P90" s="26"/>
      <c r="Q90" s="26"/>
      <c r="W90" s="23"/>
    </row>
    <row r="91" spans="1:23" s="24" customFormat="1" x14ac:dyDescent="0.3">
      <c r="A91" s="22"/>
      <c r="B91" s="23"/>
      <c r="C91" s="22"/>
      <c r="K91" s="25"/>
      <c r="L91" s="26"/>
      <c r="M91" s="26"/>
      <c r="N91" s="26"/>
      <c r="O91" s="26"/>
      <c r="P91" s="26"/>
      <c r="Q91" s="26"/>
      <c r="W91" s="23"/>
    </row>
    <row r="92" spans="1:23" s="24" customFormat="1" x14ac:dyDescent="0.3">
      <c r="A92" s="22"/>
      <c r="B92" s="23"/>
      <c r="C92" s="22"/>
      <c r="K92" s="25"/>
      <c r="L92" s="26"/>
      <c r="M92" s="26"/>
      <c r="N92" s="26"/>
      <c r="O92" s="26"/>
      <c r="P92" s="26"/>
      <c r="Q92" s="26"/>
      <c r="W92" s="23"/>
    </row>
    <row r="93" spans="1:23" s="24" customFormat="1" x14ac:dyDescent="0.3">
      <c r="A93" s="22"/>
      <c r="B93" s="23"/>
      <c r="C93" s="22"/>
      <c r="K93" s="25"/>
      <c r="L93" s="26"/>
      <c r="M93" s="26"/>
      <c r="N93" s="26"/>
      <c r="O93" s="26"/>
      <c r="P93" s="26"/>
      <c r="Q93" s="26"/>
      <c r="W93" s="23"/>
    </row>
    <row r="94" spans="1:23" s="24" customFormat="1" x14ac:dyDescent="0.3">
      <c r="A94" s="22"/>
      <c r="B94" s="23"/>
      <c r="C94" s="22"/>
      <c r="K94" s="25"/>
      <c r="L94" s="26"/>
      <c r="M94" s="26"/>
      <c r="N94" s="26"/>
      <c r="O94" s="26"/>
      <c r="P94" s="26"/>
      <c r="Q94" s="26"/>
      <c r="W94" s="23"/>
    </row>
    <row r="95" spans="1:23" s="24" customFormat="1" x14ac:dyDescent="0.3">
      <c r="A95" s="22"/>
      <c r="B95" s="23"/>
      <c r="C95" s="22"/>
      <c r="K95" s="25"/>
      <c r="L95" s="26"/>
      <c r="M95" s="26"/>
      <c r="N95" s="26"/>
      <c r="O95" s="26"/>
      <c r="P95" s="26"/>
      <c r="Q95" s="26"/>
      <c r="W95" s="23"/>
    </row>
    <row r="96" spans="1:23" s="24" customFormat="1" x14ac:dyDescent="0.3">
      <c r="A96" s="22"/>
      <c r="B96" s="23"/>
      <c r="C96" s="22"/>
      <c r="K96" s="25"/>
      <c r="L96" s="26"/>
      <c r="M96" s="26"/>
      <c r="N96" s="26"/>
      <c r="O96" s="26"/>
      <c r="P96" s="26"/>
      <c r="Q96" s="26"/>
      <c r="W96" s="23"/>
    </row>
    <row r="97" spans="1:23" s="24" customFormat="1" x14ac:dyDescent="0.3">
      <c r="A97" s="22"/>
      <c r="B97" s="23"/>
      <c r="C97" s="22"/>
      <c r="K97" s="25"/>
      <c r="L97" s="26"/>
      <c r="M97" s="26"/>
      <c r="N97" s="26"/>
      <c r="O97" s="26"/>
      <c r="P97" s="26"/>
      <c r="Q97" s="26"/>
      <c r="W97" s="23"/>
    </row>
    <row r="98" spans="1:23" s="24" customFormat="1" x14ac:dyDescent="0.3">
      <c r="A98" s="22"/>
      <c r="B98" s="23"/>
      <c r="C98" s="22"/>
      <c r="K98" s="25"/>
      <c r="L98" s="26"/>
      <c r="M98" s="26"/>
      <c r="N98" s="26"/>
      <c r="O98" s="26"/>
      <c r="P98" s="26"/>
      <c r="Q98" s="26"/>
      <c r="W98" s="23"/>
    </row>
    <row r="99" spans="1:23" s="24" customFormat="1" x14ac:dyDescent="0.3">
      <c r="A99" s="22"/>
      <c r="B99" s="23"/>
      <c r="C99" s="22"/>
      <c r="K99" s="25"/>
      <c r="L99" s="26"/>
      <c r="M99" s="26"/>
      <c r="N99" s="26"/>
      <c r="O99" s="26"/>
      <c r="P99" s="26"/>
      <c r="Q99" s="26"/>
      <c r="W99" s="23"/>
    </row>
    <row r="100" spans="1:23" s="24" customFormat="1" x14ac:dyDescent="0.3">
      <c r="A100" s="22"/>
      <c r="B100" s="23"/>
      <c r="C100" s="22"/>
      <c r="K100" s="25"/>
      <c r="L100" s="26"/>
      <c r="M100" s="26"/>
      <c r="N100" s="26"/>
      <c r="O100" s="26"/>
      <c r="P100" s="26"/>
      <c r="Q100" s="26"/>
      <c r="W100" s="23"/>
    </row>
    <row r="101" spans="1:23" s="24" customFormat="1" x14ac:dyDescent="0.3">
      <c r="A101" s="22"/>
      <c r="B101" s="23"/>
      <c r="C101" s="22"/>
      <c r="K101" s="25"/>
      <c r="L101" s="26"/>
      <c r="M101" s="26"/>
      <c r="N101" s="26"/>
      <c r="O101" s="26"/>
      <c r="P101" s="26"/>
      <c r="Q101" s="26"/>
      <c r="W101" s="23"/>
    </row>
    <row r="102" spans="1:23" s="24" customFormat="1" x14ac:dyDescent="0.3">
      <c r="A102" s="22"/>
      <c r="B102" s="23"/>
      <c r="C102" s="22"/>
      <c r="K102" s="25"/>
      <c r="L102" s="26"/>
      <c r="M102" s="26"/>
      <c r="N102" s="26"/>
      <c r="O102" s="26"/>
      <c r="P102" s="26"/>
      <c r="Q102" s="26"/>
      <c r="W102" s="23"/>
    </row>
    <row r="103" spans="1:23" s="24" customFormat="1" x14ac:dyDescent="0.3">
      <c r="A103" s="22"/>
      <c r="B103" s="23"/>
      <c r="C103" s="22"/>
      <c r="K103" s="25"/>
      <c r="L103" s="26"/>
      <c r="M103" s="26"/>
      <c r="N103" s="26"/>
      <c r="O103" s="26"/>
      <c r="P103" s="26"/>
      <c r="Q103" s="26"/>
      <c r="W103" s="23"/>
    </row>
    <row r="104" spans="1:23" s="24" customFormat="1" x14ac:dyDescent="0.3">
      <c r="A104" s="22"/>
      <c r="B104" s="23"/>
      <c r="C104" s="22"/>
      <c r="K104" s="25"/>
      <c r="L104" s="26"/>
      <c r="M104" s="26"/>
      <c r="N104" s="26"/>
      <c r="O104" s="26"/>
      <c r="P104" s="26"/>
      <c r="Q104" s="26"/>
      <c r="W104" s="23"/>
    </row>
    <row r="105" spans="1:23" s="24" customFormat="1" x14ac:dyDescent="0.3">
      <c r="A105" s="22"/>
      <c r="B105" s="23"/>
      <c r="C105" s="22"/>
      <c r="K105" s="25"/>
      <c r="L105" s="26"/>
      <c r="M105" s="26"/>
      <c r="N105" s="26"/>
      <c r="O105" s="26"/>
      <c r="P105" s="26"/>
      <c r="Q105" s="26"/>
      <c r="W105" s="23"/>
    </row>
    <row r="106" spans="1:23" s="24" customFormat="1" x14ac:dyDescent="0.3">
      <c r="A106" s="22"/>
      <c r="B106" s="23"/>
      <c r="C106" s="22"/>
      <c r="K106" s="25"/>
      <c r="L106" s="26"/>
      <c r="M106" s="26"/>
      <c r="N106" s="26"/>
      <c r="O106" s="26"/>
      <c r="P106" s="26"/>
      <c r="Q106" s="26"/>
      <c r="W106" s="23"/>
    </row>
    <row r="107" spans="1:23" s="24" customFormat="1" x14ac:dyDescent="0.3">
      <c r="A107" s="22"/>
      <c r="B107" s="23"/>
      <c r="C107" s="22"/>
      <c r="K107" s="25"/>
      <c r="L107" s="26"/>
      <c r="M107" s="26"/>
      <c r="N107" s="26"/>
      <c r="O107" s="26"/>
      <c r="P107" s="26"/>
      <c r="Q107" s="26"/>
      <c r="W107" s="23"/>
    </row>
    <row r="108" spans="1:23" s="24" customFormat="1" x14ac:dyDescent="0.3">
      <c r="A108" s="22"/>
      <c r="B108" s="23"/>
      <c r="C108" s="22"/>
      <c r="K108" s="25"/>
      <c r="L108" s="26"/>
      <c r="M108" s="26"/>
      <c r="N108" s="26"/>
      <c r="O108" s="26"/>
      <c r="P108" s="26"/>
      <c r="Q108" s="26"/>
      <c r="W108" s="23"/>
    </row>
    <row r="109" spans="1:23" s="24" customFormat="1" x14ac:dyDescent="0.3">
      <c r="A109" s="22"/>
      <c r="B109" s="23"/>
      <c r="C109" s="22"/>
      <c r="K109" s="25"/>
      <c r="L109" s="26"/>
      <c r="M109" s="26"/>
      <c r="N109" s="26"/>
      <c r="O109" s="26"/>
      <c r="P109" s="26"/>
      <c r="Q109" s="26"/>
      <c r="W109" s="23"/>
    </row>
    <row r="110" spans="1:23" s="24" customFormat="1" x14ac:dyDescent="0.3">
      <c r="A110" s="22"/>
      <c r="B110" s="23"/>
      <c r="C110" s="22"/>
      <c r="K110" s="25"/>
      <c r="L110" s="26"/>
      <c r="M110" s="26"/>
      <c r="N110" s="26"/>
      <c r="O110" s="26"/>
      <c r="P110" s="26"/>
      <c r="Q110" s="26"/>
      <c r="W110" s="23"/>
    </row>
    <row r="111" spans="1:23" s="24" customFormat="1" x14ac:dyDescent="0.3">
      <c r="A111" s="22"/>
      <c r="B111" s="23"/>
      <c r="C111" s="22"/>
      <c r="K111" s="25"/>
      <c r="L111" s="26"/>
      <c r="M111" s="26"/>
      <c r="N111" s="26"/>
      <c r="O111" s="26"/>
      <c r="P111" s="26"/>
      <c r="Q111" s="26"/>
      <c r="W111" s="23"/>
    </row>
    <row r="112" spans="1:23" s="24" customFormat="1" x14ac:dyDescent="0.3">
      <c r="A112" s="22"/>
      <c r="B112" s="23"/>
      <c r="C112" s="22"/>
      <c r="K112" s="25"/>
      <c r="L112" s="26"/>
      <c r="M112" s="26"/>
      <c r="N112" s="26"/>
      <c r="O112" s="26"/>
      <c r="P112" s="26"/>
      <c r="Q112" s="26"/>
      <c r="W112" s="23"/>
    </row>
    <row r="113" spans="1:23" s="24" customFormat="1" x14ac:dyDescent="0.3">
      <c r="A113" s="22"/>
      <c r="B113" s="23"/>
      <c r="C113" s="22"/>
      <c r="K113" s="25"/>
      <c r="L113" s="26"/>
      <c r="M113" s="26"/>
      <c r="N113" s="26"/>
      <c r="O113" s="26"/>
      <c r="P113" s="26"/>
      <c r="Q113" s="26"/>
      <c r="W113" s="23"/>
    </row>
    <row r="114" spans="1:23" s="24" customFormat="1" x14ac:dyDescent="0.3">
      <c r="A114" s="22"/>
      <c r="B114" s="23"/>
      <c r="C114" s="22"/>
      <c r="K114" s="25"/>
      <c r="L114" s="26"/>
      <c r="M114" s="26"/>
      <c r="N114" s="26"/>
      <c r="O114" s="26"/>
      <c r="P114" s="26"/>
      <c r="Q114" s="26"/>
      <c r="W114" s="23"/>
    </row>
    <row r="115" spans="1:23" s="24" customFormat="1" x14ac:dyDescent="0.3">
      <c r="A115" s="22"/>
      <c r="B115" s="23"/>
      <c r="C115" s="22"/>
      <c r="K115" s="25"/>
      <c r="L115" s="26"/>
      <c r="M115" s="26"/>
      <c r="N115" s="26"/>
      <c r="O115" s="26"/>
      <c r="P115" s="26"/>
      <c r="Q115" s="26"/>
      <c r="W115" s="23"/>
    </row>
    <row r="116" spans="1:23" s="24" customFormat="1" x14ac:dyDescent="0.3">
      <c r="A116" s="22"/>
      <c r="B116" s="23"/>
      <c r="C116" s="22"/>
      <c r="K116" s="25"/>
      <c r="L116" s="26"/>
      <c r="M116" s="26"/>
      <c r="N116" s="26"/>
      <c r="O116" s="26"/>
      <c r="P116" s="26"/>
      <c r="Q116" s="26"/>
      <c r="W116" s="23"/>
    </row>
    <row r="117" spans="1:23" s="24" customFormat="1" x14ac:dyDescent="0.3">
      <c r="A117" s="22"/>
      <c r="B117" s="23"/>
      <c r="C117" s="22"/>
      <c r="K117" s="25"/>
      <c r="L117" s="26"/>
      <c r="M117" s="26"/>
      <c r="N117" s="26"/>
      <c r="O117" s="26"/>
      <c r="P117" s="26"/>
      <c r="Q117" s="26"/>
      <c r="W117" s="23"/>
    </row>
    <row r="118" spans="1:23" s="24" customFormat="1" x14ac:dyDescent="0.3">
      <c r="A118" s="22"/>
      <c r="B118" s="23"/>
      <c r="C118" s="22"/>
      <c r="K118" s="25"/>
      <c r="L118" s="26"/>
      <c r="M118" s="26"/>
      <c r="N118" s="26"/>
      <c r="O118" s="26"/>
      <c r="P118" s="26"/>
      <c r="Q118" s="26"/>
      <c r="W118" s="23"/>
    </row>
    <row r="119" spans="1:23" s="24" customFormat="1" x14ac:dyDescent="0.3">
      <c r="A119" s="22"/>
      <c r="B119" s="23"/>
      <c r="C119" s="22"/>
      <c r="K119" s="25"/>
      <c r="L119" s="26"/>
      <c r="M119" s="26"/>
      <c r="N119" s="26"/>
      <c r="O119" s="26"/>
      <c r="P119" s="26"/>
      <c r="Q119" s="26"/>
      <c r="W119" s="23"/>
    </row>
    <row r="120" spans="1:23" s="24" customFormat="1" x14ac:dyDescent="0.3">
      <c r="A120" s="22"/>
      <c r="B120" s="23"/>
      <c r="C120" s="22"/>
      <c r="K120" s="25"/>
      <c r="L120" s="26"/>
      <c r="M120" s="26"/>
      <c r="N120" s="26"/>
      <c r="O120" s="26"/>
      <c r="P120" s="26"/>
      <c r="Q120" s="26"/>
      <c r="W120" s="23"/>
    </row>
    <row r="121" spans="1:23" s="24" customFormat="1" x14ac:dyDescent="0.3">
      <c r="A121" s="22"/>
      <c r="B121" s="23"/>
      <c r="C121" s="22"/>
      <c r="K121" s="25"/>
      <c r="L121" s="26"/>
      <c r="M121" s="26"/>
      <c r="N121" s="26"/>
      <c r="O121" s="26"/>
      <c r="P121" s="26"/>
      <c r="Q121" s="26"/>
      <c r="W121" s="23"/>
    </row>
    <row r="122" spans="1:23" s="24" customFormat="1" x14ac:dyDescent="0.3">
      <c r="A122" s="22"/>
      <c r="B122" s="23"/>
      <c r="C122" s="22"/>
      <c r="K122" s="25"/>
      <c r="L122" s="26"/>
      <c r="M122" s="26"/>
      <c r="N122" s="26"/>
      <c r="O122" s="26"/>
      <c r="P122" s="26"/>
      <c r="Q122" s="26"/>
      <c r="W122" s="23"/>
    </row>
    <row r="123" spans="1:23" s="24" customFormat="1" x14ac:dyDescent="0.3">
      <c r="A123" s="22"/>
      <c r="B123" s="23"/>
      <c r="C123" s="22"/>
      <c r="K123" s="25"/>
      <c r="L123" s="26"/>
      <c r="M123" s="26"/>
      <c r="N123" s="26"/>
      <c r="O123" s="26"/>
      <c r="P123" s="26"/>
      <c r="Q123" s="26"/>
      <c r="W123" s="23"/>
    </row>
    <row r="124" spans="1:23" s="24" customFormat="1" x14ac:dyDescent="0.3">
      <c r="A124" s="22"/>
      <c r="B124" s="23"/>
      <c r="C124" s="22"/>
      <c r="K124" s="25"/>
      <c r="L124" s="26"/>
      <c r="M124" s="26"/>
      <c r="N124" s="26"/>
      <c r="O124" s="26"/>
      <c r="P124" s="26"/>
      <c r="Q124" s="26"/>
      <c r="W124" s="23"/>
    </row>
    <row r="125" spans="1:23" s="24" customFormat="1" x14ac:dyDescent="0.3">
      <c r="A125" s="22"/>
      <c r="B125" s="23"/>
      <c r="C125" s="22"/>
      <c r="K125" s="25"/>
      <c r="L125" s="26"/>
      <c r="M125" s="26"/>
      <c r="N125" s="26"/>
      <c r="O125" s="26"/>
      <c r="P125" s="26"/>
      <c r="Q125" s="26"/>
      <c r="W125" s="23"/>
    </row>
    <row r="126" spans="1:23" s="24" customFormat="1" x14ac:dyDescent="0.3">
      <c r="A126" s="22"/>
      <c r="B126" s="23"/>
      <c r="C126" s="22"/>
      <c r="K126" s="25"/>
      <c r="L126" s="26"/>
      <c r="M126" s="26"/>
      <c r="N126" s="26"/>
      <c r="O126" s="26"/>
      <c r="P126" s="26"/>
      <c r="Q126" s="26"/>
      <c r="W126" s="23"/>
    </row>
    <row r="127" spans="1:23" s="24" customFormat="1" x14ac:dyDescent="0.3">
      <c r="A127" s="22"/>
      <c r="B127" s="23"/>
      <c r="C127" s="22"/>
      <c r="K127" s="25"/>
      <c r="L127" s="26"/>
      <c r="M127" s="26"/>
      <c r="N127" s="26"/>
      <c r="O127" s="26"/>
      <c r="P127" s="26"/>
      <c r="Q127" s="26"/>
      <c r="W127" s="23"/>
    </row>
    <row r="128" spans="1:23" s="24" customFormat="1" x14ac:dyDescent="0.3">
      <c r="A128" s="22"/>
      <c r="B128" s="23"/>
      <c r="C128" s="22"/>
      <c r="K128" s="25"/>
      <c r="L128" s="26"/>
      <c r="M128" s="26"/>
      <c r="N128" s="26"/>
      <c r="O128" s="26"/>
      <c r="P128" s="26"/>
      <c r="Q128" s="26"/>
      <c r="W128" s="23"/>
    </row>
    <row r="129" spans="1:23" s="24" customFormat="1" x14ac:dyDescent="0.3">
      <c r="A129" s="22"/>
      <c r="B129" s="23"/>
      <c r="C129" s="22"/>
      <c r="K129" s="25"/>
      <c r="L129" s="26"/>
      <c r="M129" s="26"/>
      <c r="N129" s="26"/>
      <c r="O129" s="26"/>
      <c r="P129" s="26"/>
      <c r="Q129" s="26"/>
      <c r="W129" s="23"/>
    </row>
    <row r="130" spans="1:23" s="24" customFormat="1" x14ac:dyDescent="0.3">
      <c r="A130" s="22"/>
      <c r="B130" s="23"/>
      <c r="C130" s="22"/>
      <c r="K130" s="25"/>
      <c r="L130" s="26"/>
      <c r="M130" s="26"/>
      <c r="N130" s="26"/>
      <c r="O130" s="26"/>
      <c r="P130" s="26"/>
      <c r="Q130" s="26"/>
      <c r="W130" s="23"/>
    </row>
    <row r="131" spans="1:23" s="24" customFormat="1" x14ac:dyDescent="0.3">
      <c r="A131" s="22"/>
      <c r="B131" s="23"/>
      <c r="C131" s="22"/>
      <c r="K131" s="25"/>
      <c r="L131" s="26"/>
      <c r="M131" s="26"/>
      <c r="N131" s="26"/>
      <c r="O131" s="26"/>
      <c r="P131" s="26"/>
      <c r="Q131" s="26"/>
      <c r="W131" s="23"/>
    </row>
    <row r="132" spans="1:23" s="24" customFormat="1" x14ac:dyDescent="0.3">
      <c r="A132" s="22"/>
      <c r="B132" s="23"/>
      <c r="C132" s="22"/>
      <c r="K132" s="25"/>
      <c r="L132" s="26"/>
      <c r="M132" s="26"/>
      <c r="N132" s="26"/>
      <c r="O132" s="26"/>
      <c r="P132" s="26"/>
      <c r="Q132" s="26"/>
      <c r="W132" s="23"/>
    </row>
    <row r="133" spans="1:23" s="24" customFormat="1" x14ac:dyDescent="0.3">
      <c r="A133" s="22"/>
      <c r="B133" s="23"/>
      <c r="C133" s="22"/>
      <c r="K133" s="25"/>
      <c r="L133" s="26"/>
      <c r="M133" s="26"/>
      <c r="N133" s="26"/>
      <c r="O133" s="26"/>
      <c r="P133" s="26"/>
      <c r="Q133" s="26"/>
      <c r="W133" s="23"/>
    </row>
    <row r="134" spans="1:23" s="24" customFormat="1" x14ac:dyDescent="0.3">
      <c r="A134" s="22"/>
      <c r="B134" s="23"/>
      <c r="C134" s="22"/>
      <c r="K134" s="25"/>
      <c r="L134" s="26"/>
      <c r="M134" s="26"/>
      <c r="N134" s="26"/>
      <c r="O134" s="26"/>
      <c r="P134" s="26"/>
      <c r="Q134" s="26"/>
      <c r="W134" s="23"/>
    </row>
    <row r="135" spans="1:23" s="24" customFormat="1" x14ac:dyDescent="0.3">
      <c r="A135" s="22"/>
      <c r="B135" s="23"/>
      <c r="C135" s="22"/>
      <c r="K135" s="25"/>
      <c r="L135" s="26"/>
      <c r="M135" s="26"/>
      <c r="N135" s="26"/>
      <c r="O135" s="26"/>
      <c r="P135" s="26"/>
      <c r="Q135" s="26"/>
      <c r="W135" s="23"/>
    </row>
    <row r="136" spans="1:23" s="24" customFormat="1" x14ac:dyDescent="0.3">
      <c r="A136" s="22"/>
      <c r="B136" s="23"/>
      <c r="C136" s="22"/>
      <c r="K136" s="25"/>
      <c r="L136" s="26"/>
      <c r="M136" s="26"/>
      <c r="N136" s="26"/>
      <c r="O136" s="26"/>
      <c r="P136" s="26"/>
      <c r="Q136" s="26"/>
      <c r="W136" s="23"/>
    </row>
    <row r="137" spans="1:23" s="24" customFormat="1" x14ac:dyDescent="0.3">
      <c r="A137" s="22"/>
      <c r="B137" s="23"/>
      <c r="C137" s="22"/>
      <c r="K137" s="25"/>
      <c r="L137" s="26"/>
      <c r="M137" s="26"/>
      <c r="N137" s="26"/>
      <c r="O137" s="26"/>
      <c r="P137" s="26"/>
      <c r="Q137" s="26"/>
      <c r="W137" s="23"/>
    </row>
    <row r="138" spans="1:23" s="24" customFormat="1" x14ac:dyDescent="0.3">
      <c r="A138" s="22"/>
      <c r="B138" s="23"/>
      <c r="C138" s="22"/>
      <c r="K138" s="25"/>
      <c r="L138" s="26"/>
      <c r="M138" s="26"/>
      <c r="N138" s="26"/>
      <c r="O138" s="26"/>
      <c r="P138" s="26"/>
      <c r="Q138" s="26"/>
      <c r="W138" s="23"/>
    </row>
    <row r="139" spans="1:23" s="24" customFormat="1" x14ac:dyDescent="0.3">
      <c r="A139" s="22"/>
      <c r="B139" s="23"/>
      <c r="C139" s="22"/>
      <c r="K139" s="25"/>
      <c r="L139" s="26"/>
      <c r="M139" s="26"/>
      <c r="N139" s="26"/>
      <c r="O139" s="26"/>
      <c r="P139" s="26"/>
      <c r="Q139" s="26"/>
      <c r="W139" s="23"/>
    </row>
    <row r="140" spans="1:23" s="24" customFormat="1" x14ac:dyDescent="0.3">
      <c r="A140" s="22"/>
      <c r="B140" s="23"/>
      <c r="C140" s="22"/>
      <c r="K140" s="25"/>
      <c r="L140" s="26"/>
      <c r="M140" s="26"/>
      <c r="N140" s="26"/>
      <c r="O140" s="26"/>
      <c r="P140" s="26"/>
      <c r="Q140" s="26"/>
      <c r="W140" s="23"/>
    </row>
    <row r="141" spans="1:23" s="24" customFormat="1" x14ac:dyDescent="0.3">
      <c r="A141" s="22"/>
      <c r="B141" s="23"/>
      <c r="C141" s="22"/>
      <c r="K141" s="25"/>
      <c r="L141" s="26"/>
      <c r="M141" s="26"/>
      <c r="N141" s="26"/>
      <c r="O141" s="26"/>
      <c r="P141" s="26"/>
      <c r="Q141" s="26"/>
      <c r="W141" s="23"/>
    </row>
    <row r="142" spans="1:23" s="24" customFormat="1" x14ac:dyDescent="0.3">
      <c r="A142" s="22"/>
      <c r="B142" s="23"/>
      <c r="C142" s="22"/>
      <c r="K142" s="25"/>
      <c r="L142" s="26"/>
      <c r="M142" s="26"/>
      <c r="N142" s="26"/>
      <c r="O142" s="26"/>
      <c r="P142" s="26"/>
      <c r="Q142" s="26"/>
      <c r="W142" s="23"/>
    </row>
    <row r="143" spans="1:23" s="24" customFormat="1" x14ac:dyDescent="0.3">
      <c r="A143" s="22"/>
      <c r="B143" s="23"/>
      <c r="C143" s="22"/>
      <c r="K143" s="25"/>
      <c r="L143" s="26"/>
      <c r="M143" s="26"/>
      <c r="N143" s="26"/>
      <c r="O143" s="26"/>
      <c r="P143" s="26"/>
      <c r="Q143" s="26"/>
      <c r="W143" s="23"/>
    </row>
    <row r="144" spans="1:23" s="24" customFormat="1" x14ac:dyDescent="0.3">
      <c r="A144" s="22"/>
      <c r="B144" s="23"/>
      <c r="C144" s="22"/>
      <c r="K144" s="25"/>
      <c r="L144" s="26"/>
      <c r="M144" s="26"/>
      <c r="N144" s="26"/>
      <c r="O144" s="26"/>
      <c r="P144" s="26"/>
      <c r="Q144" s="26"/>
      <c r="W144" s="23"/>
    </row>
    <row r="145" spans="1:23" s="24" customFormat="1" x14ac:dyDescent="0.3">
      <c r="A145" s="22"/>
      <c r="B145" s="23"/>
      <c r="C145" s="22"/>
      <c r="K145" s="25"/>
      <c r="L145" s="26"/>
      <c r="M145" s="26"/>
      <c r="N145" s="26"/>
      <c r="O145" s="26"/>
      <c r="P145" s="26"/>
      <c r="Q145" s="26"/>
      <c r="W145" s="23"/>
    </row>
    <row r="146" spans="1:23" s="24" customFormat="1" x14ac:dyDescent="0.3">
      <c r="A146" s="22"/>
      <c r="B146" s="23"/>
      <c r="C146" s="22"/>
      <c r="K146" s="25"/>
      <c r="L146" s="26"/>
      <c r="M146" s="26"/>
      <c r="N146" s="26"/>
      <c r="O146" s="26"/>
      <c r="P146" s="26"/>
      <c r="Q146" s="26"/>
      <c r="W146" s="23"/>
    </row>
    <row r="147" spans="1:23" s="24" customFormat="1" x14ac:dyDescent="0.3">
      <c r="A147" s="22"/>
      <c r="B147" s="23"/>
      <c r="C147" s="22"/>
      <c r="K147" s="25"/>
      <c r="L147" s="26"/>
      <c r="M147" s="26"/>
      <c r="N147" s="26"/>
      <c r="O147" s="26"/>
      <c r="P147" s="26"/>
      <c r="Q147" s="26"/>
      <c r="W147" s="23"/>
    </row>
    <row r="148" spans="1:23" s="24" customFormat="1" x14ac:dyDescent="0.3">
      <c r="A148" s="22"/>
      <c r="B148" s="23"/>
      <c r="C148" s="22"/>
      <c r="K148" s="25"/>
      <c r="L148" s="26"/>
      <c r="M148" s="26"/>
      <c r="N148" s="26"/>
      <c r="O148" s="26"/>
      <c r="P148" s="26"/>
      <c r="Q148" s="26"/>
      <c r="W148" s="23"/>
    </row>
    <row r="149" spans="1:23" s="24" customFormat="1" x14ac:dyDescent="0.3">
      <c r="A149" s="22"/>
      <c r="B149" s="23"/>
      <c r="C149" s="22"/>
      <c r="K149" s="25"/>
      <c r="L149" s="26"/>
      <c r="M149" s="26"/>
      <c r="N149" s="26"/>
      <c r="O149" s="26"/>
      <c r="P149" s="26"/>
      <c r="Q149" s="26"/>
      <c r="W149" s="23"/>
    </row>
    <row r="150" spans="1:23" s="24" customFormat="1" x14ac:dyDescent="0.3">
      <c r="A150" s="22"/>
      <c r="B150" s="23"/>
      <c r="C150" s="22"/>
      <c r="K150" s="25"/>
      <c r="L150" s="26"/>
      <c r="M150" s="26"/>
      <c r="N150" s="26"/>
      <c r="O150" s="26"/>
      <c r="P150" s="26"/>
      <c r="Q150" s="26"/>
      <c r="W150" s="23"/>
    </row>
    <row r="151" spans="1:23" s="24" customFormat="1" x14ac:dyDescent="0.3">
      <c r="A151" s="22"/>
      <c r="B151" s="23"/>
      <c r="C151" s="22"/>
      <c r="K151" s="25"/>
      <c r="L151" s="26"/>
      <c r="M151" s="26"/>
      <c r="N151" s="26"/>
      <c r="O151" s="26"/>
      <c r="P151" s="26"/>
      <c r="Q151" s="26"/>
      <c r="W151" s="23"/>
    </row>
    <row r="152" spans="1:23" s="24" customFormat="1" x14ac:dyDescent="0.3">
      <c r="A152" s="22"/>
      <c r="B152" s="23"/>
      <c r="C152" s="22"/>
      <c r="K152" s="25"/>
      <c r="L152" s="26"/>
      <c r="M152" s="26"/>
      <c r="N152" s="26"/>
      <c r="O152" s="26"/>
      <c r="P152" s="26"/>
      <c r="Q152" s="26"/>
      <c r="W152" s="23"/>
    </row>
    <row r="153" spans="1:23" s="24" customFormat="1" x14ac:dyDescent="0.3">
      <c r="A153" s="22"/>
      <c r="B153" s="23"/>
      <c r="C153" s="22"/>
      <c r="K153" s="25"/>
      <c r="L153" s="26"/>
      <c r="M153" s="26"/>
      <c r="N153" s="26"/>
      <c r="O153" s="26"/>
      <c r="P153" s="26"/>
      <c r="Q153" s="26"/>
      <c r="W153" s="23"/>
    </row>
    <row r="154" spans="1:23" s="24" customFormat="1" x14ac:dyDescent="0.3">
      <c r="A154" s="22"/>
      <c r="B154" s="23"/>
      <c r="C154" s="22"/>
      <c r="K154" s="25"/>
      <c r="L154" s="26"/>
      <c r="M154" s="26"/>
      <c r="N154" s="26"/>
      <c r="O154" s="26"/>
      <c r="P154" s="26"/>
      <c r="Q154" s="26"/>
      <c r="W154" s="23"/>
    </row>
    <row r="155" spans="1:23" s="24" customFormat="1" x14ac:dyDescent="0.3">
      <c r="A155" s="22"/>
      <c r="B155" s="23"/>
      <c r="C155" s="22"/>
      <c r="K155" s="25"/>
      <c r="L155" s="26"/>
      <c r="M155" s="26"/>
      <c r="N155" s="26"/>
      <c r="O155" s="26"/>
      <c r="P155" s="26"/>
      <c r="Q155" s="26"/>
      <c r="W155" s="23"/>
    </row>
    <row r="156" spans="1:23" s="24" customFormat="1" x14ac:dyDescent="0.3">
      <c r="A156" s="22"/>
      <c r="B156" s="23"/>
      <c r="C156" s="22"/>
      <c r="K156" s="25"/>
      <c r="L156" s="26"/>
      <c r="M156" s="26"/>
      <c r="N156" s="26"/>
      <c r="O156" s="26"/>
      <c r="P156" s="26"/>
      <c r="Q156" s="26"/>
      <c r="W156" s="23"/>
    </row>
    <row r="157" spans="1:23" s="24" customFormat="1" x14ac:dyDescent="0.3">
      <c r="A157" s="22"/>
      <c r="B157" s="23"/>
      <c r="C157" s="22"/>
      <c r="K157" s="25"/>
      <c r="L157" s="26"/>
      <c r="M157" s="26"/>
      <c r="N157" s="26"/>
      <c r="O157" s="26"/>
      <c r="P157" s="26"/>
      <c r="Q157" s="26"/>
      <c r="W157" s="23"/>
    </row>
    <row r="158" spans="1:23" s="24" customFormat="1" x14ac:dyDescent="0.3">
      <c r="A158" s="22"/>
      <c r="B158" s="23"/>
      <c r="C158" s="22"/>
      <c r="K158" s="25"/>
      <c r="L158" s="26"/>
      <c r="M158" s="26"/>
      <c r="N158" s="26"/>
      <c r="O158" s="26"/>
      <c r="P158" s="26"/>
      <c r="Q158" s="26"/>
      <c r="W158" s="23"/>
    </row>
    <row r="159" spans="1:23" s="24" customFormat="1" x14ac:dyDescent="0.3">
      <c r="A159" s="22"/>
      <c r="B159" s="23"/>
      <c r="C159" s="22"/>
      <c r="K159" s="25"/>
      <c r="L159" s="26"/>
      <c r="M159" s="26"/>
      <c r="N159" s="26"/>
      <c r="O159" s="26"/>
      <c r="P159" s="26"/>
      <c r="Q159" s="26"/>
      <c r="W159" s="23"/>
    </row>
    <row r="160" spans="1:23" s="24" customFormat="1" x14ac:dyDescent="0.3">
      <c r="A160" s="22"/>
      <c r="B160" s="23"/>
      <c r="C160" s="22"/>
      <c r="K160" s="25"/>
      <c r="L160" s="26"/>
      <c r="M160" s="26"/>
      <c r="N160" s="26"/>
      <c r="O160" s="26"/>
      <c r="P160" s="26"/>
      <c r="Q160" s="26"/>
      <c r="W160" s="23"/>
    </row>
    <row r="161" spans="1:23" s="24" customFormat="1" x14ac:dyDescent="0.3">
      <c r="A161" s="22"/>
      <c r="B161" s="23"/>
      <c r="C161" s="22"/>
      <c r="K161" s="25"/>
      <c r="L161" s="26"/>
      <c r="M161" s="26"/>
      <c r="N161" s="26"/>
      <c r="O161" s="26"/>
      <c r="P161" s="26"/>
      <c r="Q161" s="26"/>
      <c r="W161" s="23"/>
    </row>
    <row r="162" spans="1:23" s="24" customFormat="1" x14ac:dyDescent="0.3">
      <c r="A162" s="22"/>
      <c r="B162" s="23"/>
      <c r="C162" s="22"/>
      <c r="K162" s="25"/>
      <c r="L162" s="26"/>
      <c r="M162" s="26"/>
      <c r="N162" s="26"/>
      <c r="O162" s="26"/>
      <c r="P162" s="26"/>
      <c r="Q162" s="26"/>
      <c r="W162" s="23"/>
    </row>
    <row r="163" spans="1:23" s="24" customFormat="1" x14ac:dyDescent="0.3">
      <c r="A163" s="22"/>
      <c r="B163" s="23"/>
      <c r="C163" s="22"/>
      <c r="K163" s="25"/>
      <c r="L163" s="26"/>
      <c r="M163" s="26"/>
      <c r="N163" s="26"/>
      <c r="O163" s="26"/>
      <c r="P163" s="26"/>
      <c r="Q163" s="26"/>
      <c r="W163" s="23"/>
    </row>
    <row r="164" spans="1:23" s="24" customFormat="1" x14ac:dyDescent="0.3">
      <c r="A164" s="22"/>
      <c r="B164" s="23"/>
      <c r="C164" s="22"/>
      <c r="K164" s="25"/>
      <c r="L164" s="26"/>
      <c r="M164" s="26"/>
      <c r="N164" s="26"/>
      <c r="O164" s="26"/>
      <c r="P164" s="26"/>
      <c r="Q164" s="26"/>
      <c r="W164" s="23"/>
    </row>
    <row r="165" spans="1:23" s="24" customFormat="1" x14ac:dyDescent="0.3">
      <c r="A165" s="22"/>
      <c r="B165" s="23"/>
      <c r="C165" s="22"/>
      <c r="K165" s="25"/>
      <c r="L165" s="26"/>
      <c r="M165" s="26"/>
      <c r="N165" s="26"/>
      <c r="O165" s="26"/>
      <c r="P165" s="26"/>
      <c r="Q165" s="26"/>
      <c r="W165" s="23"/>
    </row>
    <row r="166" spans="1:23" s="24" customFormat="1" x14ac:dyDescent="0.3">
      <c r="A166" s="22"/>
      <c r="B166" s="23"/>
      <c r="C166" s="22"/>
      <c r="K166" s="25"/>
      <c r="L166" s="26"/>
      <c r="M166" s="26"/>
      <c r="N166" s="26"/>
      <c r="O166" s="26"/>
      <c r="P166" s="26"/>
      <c r="Q166" s="26"/>
      <c r="W166" s="23"/>
    </row>
    <row r="167" spans="1:23" s="24" customFormat="1" x14ac:dyDescent="0.3">
      <c r="A167" s="22"/>
      <c r="B167" s="23"/>
      <c r="C167" s="22"/>
      <c r="K167" s="25"/>
      <c r="L167" s="26"/>
      <c r="M167" s="26"/>
      <c r="N167" s="26"/>
      <c r="O167" s="26"/>
      <c r="P167" s="26"/>
      <c r="Q167" s="26"/>
      <c r="W167" s="23"/>
    </row>
    <row r="168" spans="1:23" s="24" customFormat="1" x14ac:dyDescent="0.3">
      <c r="A168" s="22"/>
      <c r="B168" s="23"/>
      <c r="C168" s="22"/>
      <c r="K168" s="25"/>
      <c r="L168" s="26"/>
      <c r="M168" s="26"/>
      <c r="N168" s="26"/>
      <c r="O168" s="26"/>
      <c r="P168" s="26"/>
      <c r="Q168" s="26"/>
      <c r="W168" s="23"/>
    </row>
    <row r="169" spans="1:23" s="24" customFormat="1" x14ac:dyDescent="0.3">
      <c r="A169" s="22"/>
      <c r="B169" s="23"/>
      <c r="C169" s="22"/>
      <c r="K169" s="25"/>
      <c r="L169" s="26"/>
      <c r="M169" s="26"/>
      <c r="N169" s="26"/>
      <c r="O169" s="26"/>
      <c r="P169" s="26"/>
      <c r="Q169" s="26"/>
      <c r="W169" s="23"/>
    </row>
    <row r="170" spans="1:23" s="24" customFormat="1" x14ac:dyDescent="0.3">
      <c r="A170" s="22"/>
      <c r="B170" s="23"/>
      <c r="C170" s="22"/>
      <c r="K170" s="25"/>
      <c r="L170" s="26"/>
      <c r="M170" s="26"/>
      <c r="N170" s="26"/>
      <c r="O170" s="26"/>
      <c r="P170" s="26"/>
      <c r="Q170" s="26"/>
      <c r="W170" s="23"/>
    </row>
    <row r="171" spans="1:23" s="24" customFormat="1" x14ac:dyDescent="0.3">
      <c r="A171" s="22"/>
      <c r="B171" s="23"/>
      <c r="C171" s="22"/>
      <c r="K171" s="25"/>
      <c r="L171" s="26"/>
      <c r="M171" s="26"/>
      <c r="N171" s="26"/>
      <c r="O171" s="26"/>
      <c r="P171" s="26"/>
      <c r="Q171" s="26"/>
      <c r="W171" s="23"/>
    </row>
    <row r="172" spans="1:23" s="24" customFormat="1" x14ac:dyDescent="0.3">
      <c r="A172" s="22"/>
      <c r="B172" s="23"/>
      <c r="C172" s="22"/>
      <c r="K172" s="25"/>
      <c r="L172" s="26"/>
      <c r="M172" s="26"/>
      <c r="N172" s="26"/>
      <c r="O172" s="26"/>
      <c r="P172" s="26"/>
      <c r="Q172" s="26"/>
      <c r="W172" s="23"/>
    </row>
    <row r="173" spans="1:23" s="24" customFormat="1" x14ac:dyDescent="0.3">
      <c r="A173" s="22"/>
      <c r="B173" s="23"/>
      <c r="C173" s="22"/>
      <c r="K173" s="25"/>
      <c r="L173" s="26"/>
      <c r="M173" s="26"/>
      <c r="N173" s="26"/>
      <c r="O173" s="26"/>
      <c r="P173" s="26"/>
      <c r="Q173" s="26"/>
      <c r="W173" s="23"/>
    </row>
    <row r="174" spans="1:23" s="24" customFormat="1" x14ac:dyDescent="0.3">
      <c r="A174" s="22"/>
      <c r="B174" s="23"/>
      <c r="C174" s="22"/>
      <c r="K174" s="25"/>
      <c r="L174" s="26"/>
      <c r="M174" s="26"/>
      <c r="N174" s="26"/>
      <c r="O174" s="26"/>
      <c r="P174" s="26"/>
      <c r="Q174" s="26"/>
      <c r="W174" s="23"/>
    </row>
    <row r="175" spans="1:23" s="24" customFormat="1" x14ac:dyDescent="0.3">
      <c r="A175" s="22"/>
      <c r="B175" s="23"/>
      <c r="C175" s="22"/>
      <c r="K175" s="25"/>
      <c r="L175" s="26"/>
      <c r="M175" s="26"/>
      <c r="N175" s="26"/>
      <c r="O175" s="26"/>
      <c r="P175" s="26"/>
      <c r="Q175" s="26"/>
      <c r="W175" s="23"/>
    </row>
    <row r="176" spans="1:23" s="24" customFormat="1" x14ac:dyDescent="0.3">
      <c r="A176" s="22"/>
      <c r="B176" s="23"/>
      <c r="C176" s="22"/>
      <c r="K176" s="25"/>
      <c r="L176" s="26"/>
      <c r="M176" s="26"/>
      <c r="N176" s="26"/>
      <c r="O176" s="26"/>
      <c r="P176" s="26"/>
      <c r="Q176" s="26"/>
      <c r="W176" s="23"/>
    </row>
    <row r="177" spans="1:23" s="24" customFormat="1" x14ac:dyDescent="0.3">
      <c r="A177" s="22"/>
      <c r="B177" s="23"/>
      <c r="C177" s="22"/>
      <c r="K177" s="25"/>
      <c r="L177" s="26"/>
      <c r="M177" s="26"/>
      <c r="N177" s="26"/>
      <c r="O177" s="26"/>
      <c r="P177" s="26"/>
      <c r="Q177" s="26"/>
      <c r="W177" s="23"/>
    </row>
    <row r="178" spans="1:23" s="24" customFormat="1" x14ac:dyDescent="0.3">
      <c r="A178" s="22"/>
      <c r="B178" s="23"/>
      <c r="C178" s="22"/>
      <c r="K178" s="25"/>
      <c r="L178" s="26"/>
      <c r="M178" s="26"/>
      <c r="N178" s="26"/>
      <c r="O178" s="26"/>
      <c r="P178" s="26"/>
      <c r="Q178" s="26"/>
      <c r="W178" s="23"/>
    </row>
    <row r="179" spans="1:23" s="24" customFormat="1" x14ac:dyDescent="0.3">
      <c r="A179" s="22"/>
      <c r="B179" s="23"/>
      <c r="C179" s="22"/>
      <c r="K179" s="25"/>
      <c r="L179" s="26"/>
      <c r="M179" s="26"/>
      <c r="N179" s="26"/>
      <c r="O179" s="26"/>
      <c r="P179" s="26"/>
      <c r="Q179" s="26"/>
      <c r="W179" s="23"/>
    </row>
    <row r="180" spans="1:23" s="24" customFormat="1" x14ac:dyDescent="0.3">
      <c r="A180" s="22"/>
      <c r="B180" s="23"/>
      <c r="C180" s="22"/>
      <c r="K180" s="25"/>
      <c r="L180" s="26"/>
      <c r="M180" s="26"/>
      <c r="N180" s="26"/>
      <c r="O180" s="26"/>
      <c r="P180" s="26"/>
      <c r="Q180" s="26"/>
      <c r="W180" s="23"/>
    </row>
    <row r="181" spans="1:23" s="24" customFormat="1" x14ac:dyDescent="0.3">
      <c r="A181" s="22"/>
      <c r="B181" s="23"/>
      <c r="C181" s="22"/>
      <c r="K181" s="25"/>
      <c r="L181" s="26"/>
      <c r="M181" s="26"/>
      <c r="N181" s="26"/>
      <c r="O181" s="26"/>
      <c r="P181" s="26"/>
      <c r="Q181" s="26"/>
      <c r="W181" s="23"/>
    </row>
    <row r="182" spans="1:23" s="24" customFormat="1" x14ac:dyDescent="0.3">
      <c r="A182" s="22"/>
      <c r="B182" s="23"/>
      <c r="C182" s="22"/>
      <c r="K182" s="25"/>
      <c r="L182" s="26"/>
      <c r="M182" s="26"/>
      <c r="N182" s="26"/>
      <c r="O182" s="26"/>
      <c r="P182" s="26"/>
      <c r="Q182" s="26"/>
      <c r="W182" s="23"/>
    </row>
    <row r="183" spans="1:23" s="24" customFormat="1" x14ac:dyDescent="0.3">
      <c r="A183" s="22"/>
      <c r="B183" s="23"/>
      <c r="C183" s="22"/>
      <c r="K183" s="25"/>
      <c r="L183" s="26"/>
      <c r="M183" s="26"/>
      <c r="N183" s="26"/>
      <c r="O183" s="26"/>
      <c r="P183" s="26"/>
      <c r="Q183" s="26"/>
      <c r="W183" s="23"/>
    </row>
    <row r="184" spans="1:23" s="24" customFormat="1" x14ac:dyDescent="0.3">
      <c r="A184" s="22"/>
      <c r="B184" s="23"/>
      <c r="C184" s="22"/>
      <c r="K184" s="25"/>
      <c r="L184" s="26"/>
      <c r="M184" s="26"/>
      <c r="N184" s="26"/>
      <c r="O184" s="26"/>
      <c r="P184" s="26"/>
      <c r="Q184" s="26"/>
      <c r="W184" s="23"/>
    </row>
    <row r="185" spans="1:23" s="24" customFormat="1" x14ac:dyDescent="0.3">
      <c r="A185" s="22"/>
      <c r="B185" s="23"/>
      <c r="C185" s="22"/>
      <c r="K185" s="25"/>
      <c r="L185" s="26"/>
      <c r="M185" s="26"/>
      <c r="N185" s="26"/>
      <c r="O185" s="26"/>
      <c r="P185" s="26"/>
      <c r="Q185" s="26"/>
      <c r="W185" s="23"/>
    </row>
    <row r="186" spans="1:23" s="24" customFormat="1" x14ac:dyDescent="0.3">
      <c r="A186" s="22"/>
      <c r="B186" s="23"/>
      <c r="C186" s="22"/>
      <c r="K186" s="25"/>
      <c r="L186" s="26"/>
      <c r="M186" s="26"/>
      <c r="N186" s="26"/>
      <c r="O186" s="26"/>
      <c r="P186" s="26"/>
      <c r="Q186" s="26"/>
      <c r="W186" s="23"/>
    </row>
    <row r="187" spans="1:23" s="24" customFormat="1" x14ac:dyDescent="0.3">
      <c r="A187" s="22"/>
      <c r="B187" s="23"/>
      <c r="C187" s="22"/>
      <c r="K187" s="25"/>
      <c r="L187" s="26"/>
      <c r="M187" s="26"/>
      <c r="N187" s="26"/>
      <c r="O187" s="26"/>
      <c r="P187" s="26"/>
      <c r="Q187" s="26"/>
      <c r="W187" s="23"/>
    </row>
    <row r="188" spans="1:23" s="24" customFormat="1" x14ac:dyDescent="0.3">
      <c r="A188" s="22"/>
      <c r="B188" s="23"/>
      <c r="C188" s="22"/>
      <c r="K188" s="25"/>
      <c r="L188" s="26"/>
      <c r="M188" s="26"/>
      <c r="N188" s="26"/>
      <c r="O188" s="26"/>
      <c r="P188" s="26"/>
      <c r="Q188" s="26"/>
      <c r="W188" s="23"/>
    </row>
    <row r="189" spans="1:23" s="24" customFormat="1" x14ac:dyDescent="0.3">
      <c r="A189" s="22"/>
      <c r="B189" s="23"/>
      <c r="C189" s="22"/>
      <c r="K189" s="25"/>
      <c r="L189" s="26"/>
      <c r="M189" s="26"/>
      <c r="N189" s="26"/>
      <c r="O189" s="26"/>
      <c r="P189" s="26"/>
      <c r="Q189" s="26"/>
      <c r="W189" s="23"/>
    </row>
    <row r="190" spans="1:23" s="24" customFormat="1" x14ac:dyDescent="0.3">
      <c r="A190" s="22"/>
      <c r="B190" s="23"/>
      <c r="C190" s="22"/>
      <c r="K190" s="25"/>
      <c r="L190" s="26"/>
      <c r="M190" s="26"/>
      <c r="N190" s="26"/>
      <c r="O190" s="26"/>
      <c r="P190" s="26"/>
      <c r="Q190" s="26"/>
      <c r="W190" s="23"/>
    </row>
    <row r="191" spans="1:23" s="24" customFormat="1" x14ac:dyDescent="0.3">
      <c r="A191" s="22"/>
      <c r="B191" s="23"/>
      <c r="C191" s="22"/>
      <c r="K191" s="25"/>
      <c r="L191" s="26"/>
      <c r="M191" s="26"/>
      <c r="N191" s="26"/>
      <c r="O191" s="26"/>
      <c r="P191" s="26"/>
      <c r="Q191" s="26"/>
      <c r="W191" s="23"/>
    </row>
    <row r="192" spans="1:23" s="24" customFormat="1" x14ac:dyDescent="0.3">
      <c r="A192" s="22"/>
      <c r="B192" s="23"/>
      <c r="C192" s="22"/>
      <c r="K192" s="25"/>
      <c r="L192" s="26"/>
      <c r="M192" s="26"/>
      <c r="N192" s="26"/>
      <c r="O192" s="26"/>
      <c r="P192" s="26"/>
      <c r="Q192" s="26"/>
      <c r="W192" s="23"/>
    </row>
    <row r="193" spans="1:23" s="24" customFormat="1" x14ac:dyDescent="0.3">
      <c r="A193" s="22"/>
      <c r="B193" s="23"/>
      <c r="C193" s="22"/>
      <c r="K193" s="25"/>
      <c r="L193" s="26"/>
      <c r="M193" s="26"/>
      <c r="N193" s="26"/>
      <c r="O193" s="26"/>
      <c r="P193" s="26"/>
      <c r="Q193" s="26"/>
      <c r="W193" s="23"/>
    </row>
    <row r="194" spans="1:23" s="24" customFormat="1" x14ac:dyDescent="0.3">
      <c r="A194" s="22"/>
      <c r="B194" s="23"/>
      <c r="C194" s="22"/>
      <c r="K194" s="25"/>
      <c r="L194" s="26"/>
      <c r="M194" s="26"/>
      <c r="N194" s="26"/>
      <c r="O194" s="26"/>
      <c r="P194" s="26"/>
      <c r="Q194" s="26"/>
      <c r="W194" s="23"/>
    </row>
    <row r="195" spans="1:23" s="24" customFormat="1" x14ac:dyDescent="0.3">
      <c r="A195" s="22"/>
      <c r="B195" s="23"/>
      <c r="C195" s="22"/>
      <c r="K195" s="25"/>
      <c r="L195" s="26"/>
      <c r="M195" s="26"/>
      <c r="N195" s="26"/>
      <c r="O195" s="26"/>
      <c r="P195" s="26"/>
      <c r="Q195" s="26"/>
      <c r="W195" s="23"/>
    </row>
    <row r="196" spans="1:23" s="24" customFormat="1" x14ac:dyDescent="0.3">
      <c r="A196" s="22"/>
      <c r="B196" s="23"/>
      <c r="C196" s="22"/>
      <c r="K196" s="25"/>
      <c r="L196" s="26"/>
      <c r="M196" s="26"/>
      <c r="N196" s="26"/>
      <c r="O196" s="26"/>
      <c r="P196" s="26"/>
      <c r="Q196" s="26"/>
      <c r="W196" s="23"/>
    </row>
    <row r="197" spans="1:23" s="24" customFormat="1" x14ac:dyDescent="0.3">
      <c r="A197" s="22"/>
      <c r="B197" s="23"/>
      <c r="C197" s="22"/>
      <c r="K197" s="25"/>
      <c r="L197" s="26"/>
      <c r="M197" s="26"/>
      <c r="N197" s="26"/>
      <c r="O197" s="26"/>
      <c r="P197" s="26"/>
      <c r="Q197" s="26"/>
      <c r="W197" s="23"/>
    </row>
    <row r="198" spans="1:23" s="24" customFormat="1" x14ac:dyDescent="0.3">
      <c r="A198" s="22"/>
      <c r="B198" s="23"/>
      <c r="C198" s="22"/>
      <c r="K198" s="25"/>
      <c r="L198" s="26"/>
      <c r="M198" s="26"/>
      <c r="N198" s="26"/>
      <c r="O198" s="26"/>
      <c r="P198" s="26"/>
      <c r="Q198" s="26"/>
      <c r="W198" s="23"/>
    </row>
    <row r="501" spans="2:5" x14ac:dyDescent="0.3">
      <c r="B501" s="18" t="s">
        <v>100</v>
      </c>
      <c r="C501" s="18">
        <v>20</v>
      </c>
      <c r="E501" s="18" t="s">
        <v>102</v>
      </c>
    </row>
    <row r="502" spans="2:5" x14ac:dyDescent="0.3">
      <c r="B502" s="18" t="s">
        <v>100</v>
      </c>
      <c r="C502" s="18">
        <v>20</v>
      </c>
      <c r="E502" s="18" t="s">
        <v>102</v>
      </c>
    </row>
    <row r="503" spans="2:5" x14ac:dyDescent="0.3">
      <c r="B503" s="18" t="s">
        <v>100</v>
      </c>
      <c r="C503" s="18">
        <v>20</v>
      </c>
      <c r="E503" s="18" t="s">
        <v>102</v>
      </c>
    </row>
    <row r="504" spans="2:5" x14ac:dyDescent="0.3">
      <c r="B504" s="18" t="s">
        <v>100</v>
      </c>
      <c r="C504" s="18">
        <v>20</v>
      </c>
      <c r="E504" s="18" t="s">
        <v>102</v>
      </c>
    </row>
  </sheetData>
  <autoFilter ref="A4:Y198" xr:uid="{179A7E88-2B75-47AC-AFDF-E90979AEDD9D}"/>
  <mergeCells count="1">
    <mergeCell ref="A1:X1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4789496-c3fa-4a76-a39f-ce3f1c3686b2">
      <Terms xmlns="http://schemas.microsoft.com/office/infopath/2007/PartnerControls"/>
    </lcf76f155ced4ddcb4097134ff3c332f>
    <TaxCatchAll xmlns="568f87e3-1f01-4d9d-994c-468080c4eaa7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B1AC3800FB04341900AF0571A9258EB" ma:contentTypeVersion="14" ma:contentTypeDescription="Create a new document." ma:contentTypeScope="" ma:versionID="9aaf7a8de5293513463cf36c45ec8b44">
  <xsd:schema xmlns:xsd="http://www.w3.org/2001/XMLSchema" xmlns:xs="http://www.w3.org/2001/XMLSchema" xmlns:p="http://schemas.microsoft.com/office/2006/metadata/properties" xmlns:ns2="c4789496-c3fa-4a76-a39f-ce3f1c3686b2" xmlns:ns3="568f87e3-1f01-4d9d-994c-468080c4eaa7" targetNamespace="http://schemas.microsoft.com/office/2006/metadata/properties" ma:root="true" ma:fieldsID="d489772252ba26b0a313244a265dc37b" ns2:_="" ns3:_="">
    <xsd:import namespace="c4789496-c3fa-4a76-a39f-ce3f1c3686b2"/>
    <xsd:import namespace="568f87e3-1f01-4d9d-994c-468080c4eaa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4789496-c3fa-4a76-a39f-ce3f1c3686b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Length (seconds)" ma:internalName="MediaLengthInSeconds" ma:readOnly="true">
      <xsd:simpleType>
        <xsd:restriction base="dms:Unknown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9ff119e2-e43b-49a1-b39c-86345acfef6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8f87e3-1f01-4d9d-994c-468080c4eaa7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a494c2e3-38d1-4efc-9207-177cdb5b8040}" ma:internalName="TaxCatchAll" ma:showField="CatchAllData" ma:web="568f87e3-1f01-4d9d-994c-468080c4eaa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9400FE9-1743-4B73-8BEA-F962C3C357D5}">
  <ds:schemaRefs>
    <ds:schemaRef ds:uri="http://schemas.microsoft.com/office/2006/metadata/properties"/>
    <ds:schemaRef ds:uri="http://schemas.microsoft.com/office/infopath/2007/PartnerControls"/>
    <ds:schemaRef ds:uri="c4789496-c3fa-4a76-a39f-ce3f1c3686b2"/>
    <ds:schemaRef ds:uri="568f87e3-1f01-4d9d-994c-468080c4eaa7"/>
  </ds:schemaRefs>
</ds:datastoreItem>
</file>

<file path=customXml/itemProps2.xml><?xml version="1.0" encoding="utf-8"?>
<ds:datastoreItem xmlns:ds="http://schemas.openxmlformats.org/officeDocument/2006/customXml" ds:itemID="{58CA9895-4C32-4D31-97AC-B90F1EE7A82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A0663FD-1774-49FA-ACD7-D0D1296B65E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4789496-c3fa-4a76-a39f-ce3f1c3686b2"/>
    <ds:schemaRef ds:uri="568f87e3-1f01-4d9d-994c-468080c4eaa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Input</vt:lpstr>
      <vt:lpstr>JNL Template - Main</vt:lpstr>
      <vt:lpstr>Sheet1</vt:lpstr>
      <vt:lpstr>Journal - Main</vt:lpstr>
      <vt:lpstr>Lookups</vt:lpstr>
      <vt:lpstr>JRNDOWNLD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Victoria Thompson</dc:creator>
  <cp:keywords/>
  <dc:description/>
  <cp:lastModifiedBy>Edward Jon Arquiza</cp:lastModifiedBy>
  <cp:revision/>
  <dcterms:created xsi:type="dcterms:W3CDTF">2022-09-14T07:06:29Z</dcterms:created>
  <dcterms:modified xsi:type="dcterms:W3CDTF">2024-02-22T01:37:37Z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0x010100EB1AC3800FB04341900AF0571A9258EB</vt:lpwstr>
  </property>
  <property fmtid="{D5CDD505-2E9C-101B-9397-08002B2CF9AE}" pid="3" name="MediaServiceImageTags">
    <vt:lpwstr/>
  </property>
</Properties>
</file>